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Budget vs Actual" sheetId="2" state="visible" r:id="rId4"/>
    <sheet name="Monthly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<sst xmlns="http://schemas.openxmlformats.org/spreadsheetml/2006/main" count="233" uniqueCount="37">
  <si>
    <t xml:space="preserve">Demo Telecom Co. (fictional) — Income Statement FY2025</t>
  </si>
  <si>
    <t xml:space="preserve">Amounts in LAK · SAMPLE DATA for demonstration only</t>
  </si>
  <si>
    <t xml:space="preserve">Line item</t>
  </si>
  <si>
    <t xml:space="preserve">Q1</t>
  </si>
  <si>
    <t xml:space="preserve">Q2</t>
  </si>
  <si>
    <t xml:space="preserve">Q3</t>
  </si>
  <si>
    <t xml:space="preserve">Q4</t>
  </si>
  <si>
    <t xml:space="preserve">Total FY2025</t>
  </si>
  <si>
    <t xml:space="preserve">Revenue</t>
  </si>
  <si>
    <t xml:space="preserve">Mobile service revenue</t>
  </si>
  <si>
    <t xml:space="preserve">Internet service revenue</t>
  </si>
  <si>
    <t xml:space="preserve">Device sales</t>
  </si>
  <si>
    <t xml:space="preserve">Total revenue</t>
  </si>
  <si>
    <t xml:space="preserve">Operating expenses</t>
  </si>
  <si>
    <t xml:space="preserve">Salaries &amp; wages</t>
  </si>
  <si>
    <t xml:space="preserve">Network maintenance</t>
  </si>
  <si>
    <t xml:space="preserve">Rent &amp; utilities</t>
  </si>
  <si>
    <t xml:space="preserve">Marketing</t>
  </si>
  <si>
    <t xml:space="preserve">Office &amp; administration</t>
  </si>
  <si>
    <t xml:space="preserve">Total operating expenses</t>
  </si>
  <si>
    <t xml:space="preserve">Net profit</t>
  </si>
  <si>
    <t xml:space="preserve">Net profit margin</t>
  </si>
  <si>
    <t xml:space="preserve">Operating expenses — Budget vs Actual FY2025 (sample data)</t>
  </si>
  <si>
    <t xml:space="preserve">Category</t>
  </si>
  <si>
    <t xml:space="preserve">Budget (LAK)</t>
  </si>
  <si>
    <t xml:space="preserve">Actual (LAK)</t>
  </si>
  <si>
    <t xml:space="preserve">Variance (LAK)</t>
  </si>
  <si>
    <t xml:space="preserve">Variance %</t>
  </si>
  <si>
    <t xml:space="preserve">Status</t>
  </si>
  <si>
    <t xml:space="preserve">Total</t>
  </si>
  <si>
    <t xml:space="preserve">Date</t>
  </si>
  <si>
    <t xml:space="preserve">Type</t>
  </si>
  <si>
    <t xml:space="preserve">Income (LAK)</t>
  </si>
  <si>
    <t xml:space="preserve">Actual expenses (LAK)</t>
  </si>
  <si>
    <t xml:space="preserve">Expense budget (LAK)</t>
  </si>
  <si>
    <t xml:space="preserve">Income</t>
  </si>
  <si>
    <t xml:space="preserve">Expense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</si>
</sst>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3" t="s">
        <v>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0" t="s">
        <v>9</v>
      </c>
      <c r="B6" s="4" t="n">
        <v>1826400000</v>
      </c>
      <c r="C6" s="4" t="n">
        <v>2050900000</v>
      </c>
      <c r="D6" s="4" t="n">
        <v>2033600000</v>
      </c>
      <c r="E6" s="4" t="n">
        <v>1952100000</v>
      </c>
      <c r="F6" s="4" t="n">
        <f aca="false">SUM(B6:E6)</f>
        <v>7863000000</v>
      </c>
    </row>
    <row r="7" customFormat="false" ht="15" hidden="false" customHeight="false" outlineLevel="0" collapsed="false">
      <c r="A7" s="0" t="s">
        <v>10</v>
      </c>
      <c r="B7" s="4" t="n">
        <v>1200200000</v>
      </c>
      <c r="C7" s="4" t="n">
        <v>1385200000</v>
      </c>
      <c r="D7" s="4" t="n">
        <v>1432100000</v>
      </c>
      <c r="E7" s="4" t="n">
        <v>1429000000</v>
      </c>
      <c r="F7" s="4" t="n">
        <f aca="false">SUM(B7:E7)</f>
        <v>5446500000</v>
      </c>
    </row>
    <row r="8" customFormat="false" ht="15" hidden="false" customHeight="false" outlineLevel="0" collapsed="false">
      <c r="A8" s="0" t="s">
        <v>11</v>
      </c>
      <c r="B8" s="4" t="n">
        <v>435400000</v>
      </c>
      <c r="C8" s="4" t="n">
        <v>468800000</v>
      </c>
      <c r="D8" s="4" t="n">
        <v>488400000</v>
      </c>
      <c r="E8" s="4" t="n">
        <v>437500000</v>
      </c>
      <c r="F8" s="4" t="n">
        <f aca="false">SUM(B8:E8)</f>
        <v>1830100000</v>
      </c>
    </row>
    <row r="9" customFormat="false" ht="15" hidden="false" customHeight="false" outlineLevel="0" collapsed="false">
      <c r="A9" s="3" t="s">
        <v>12</v>
      </c>
      <c r="B9" s="5" t="n">
        <f aca="false">SUM(B6:B8)</f>
        <v>3462000000</v>
      </c>
      <c r="C9" s="5" t="n">
        <f aca="false">SUM(C6:C8)</f>
        <v>3904900000</v>
      </c>
      <c r="D9" s="5" t="n">
        <f aca="false">SUM(D6:D8)</f>
        <v>3954100000</v>
      </c>
      <c r="E9" s="5" t="n">
        <f aca="false">SUM(E6:E8)</f>
        <v>3818600000</v>
      </c>
      <c r="F9" s="5" t="n">
        <f aca="false">SUM(F6:F8)</f>
        <v>15139600000</v>
      </c>
    </row>
    <row r="10" customFormat="false" ht="15" hidden="false" customHeight="false" outlineLevel="0" collapsed="false">
      <c r="B10" s="4"/>
      <c r="C10" s="4"/>
      <c r="D10" s="4"/>
      <c r="E10" s="4"/>
      <c r="F10" s="4"/>
    </row>
    <row r="11" customFormat="false" ht="15" hidden="false" customHeight="false" outlineLevel="0" collapsed="false">
      <c r="A11" s="3" t="s">
        <v>13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0" t="s">
        <v>14</v>
      </c>
      <c r="B12" s="4" t="n">
        <v>1130800000</v>
      </c>
      <c r="C12" s="4" t="n">
        <v>1190600000</v>
      </c>
      <c r="D12" s="4" t="n">
        <v>1218600000</v>
      </c>
      <c r="E12" s="4" t="n">
        <v>1137900000</v>
      </c>
      <c r="F12" s="4" t="n">
        <f aca="false">SUM(B12:E12)</f>
        <v>4677900000</v>
      </c>
    </row>
    <row r="13" customFormat="false" ht="15" hidden="false" customHeight="false" outlineLevel="0" collapsed="false">
      <c r="A13" s="0" t="s">
        <v>15</v>
      </c>
      <c r="B13" s="4" t="n">
        <v>614200000</v>
      </c>
      <c r="C13" s="4" t="n">
        <v>662800000</v>
      </c>
      <c r="D13" s="4" t="n">
        <v>687200000</v>
      </c>
      <c r="E13" s="4" t="n">
        <v>637400000</v>
      </c>
      <c r="F13" s="4" t="n">
        <f aca="false">SUM(B13:E13)</f>
        <v>2601600000</v>
      </c>
    </row>
    <row r="14" customFormat="false" ht="15" hidden="false" customHeight="false" outlineLevel="0" collapsed="false">
      <c r="A14" s="0" t="s">
        <v>16</v>
      </c>
      <c r="B14" s="4" t="n">
        <v>275800000</v>
      </c>
      <c r="C14" s="4" t="n">
        <v>301900000</v>
      </c>
      <c r="D14" s="4" t="n">
        <v>297200000</v>
      </c>
      <c r="E14" s="4" t="n">
        <v>283100000</v>
      </c>
      <c r="F14" s="4" t="n">
        <f aca="false">SUM(B14:E14)</f>
        <v>1158000000</v>
      </c>
    </row>
    <row r="15" customFormat="false" ht="15" hidden="false" customHeight="false" outlineLevel="0" collapsed="false">
      <c r="A15" s="0" t="s">
        <v>17</v>
      </c>
      <c r="B15" s="4" t="n">
        <v>203200000</v>
      </c>
      <c r="C15" s="4" t="n">
        <v>274800000</v>
      </c>
      <c r="D15" s="4" t="n">
        <v>227600000</v>
      </c>
      <c r="E15" s="4" t="n">
        <v>265000000</v>
      </c>
      <c r="F15" s="4" t="n">
        <f aca="false">SUM(B15:E15)</f>
        <v>970600000</v>
      </c>
    </row>
    <row r="16" customFormat="false" ht="15" hidden="false" customHeight="false" outlineLevel="0" collapsed="false">
      <c r="A16" s="0" t="s">
        <v>18</v>
      </c>
      <c r="B16" s="4" t="n">
        <v>102700000</v>
      </c>
      <c r="C16" s="4" t="n">
        <v>114700000</v>
      </c>
      <c r="D16" s="4" t="n">
        <v>111800000</v>
      </c>
      <c r="E16" s="4" t="n">
        <v>103200000</v>
      </c>
      <c r="F16" s="4" t="n">
        <f aca="false">SUM(B16:E16)</f>
        <v>432400000</v>
      </c>
    </row>
    <row r="17" customFormat="false" ht="15" hidden="false" customHeight="false" outlineLevel="0" collapsed="false">
      <c r="A17" s="3" t="s">
        <v>19</v>
      </c>
      <c r="B17" s="5" t="n">
        <f aca="false">SUM(B12:B16)</f>
        <v>2326700000</v>
      </c>
      <c r="C17" s="5" t="n">
        <f aca="false">SUM(C12:C16)</f>
        <v>2544800000</v>
      </c>
      <c r="D17" s="5" t="n">
        <f aca="false">SUM(D12:D16)</f>
        <v>2542400000</v>
      </c>
      <c r="E17" s="5" t="n">
        <f aca="false">SUM(E12:E16)</f>
        <v>2426600000</v>
      </c>
      <c r="F17" s="5" t="n">
        <f aca="false">SUM(F12:F16)</f>
        <v>9840500000</v>
      </c>
    </row>
    <row r="18" customFormat="false" ht="15" hidden="false" customHeight="false" outlineLevel="0" collapsed="false">
      <c r="A18" s="3"/>
      <c r="B18" s="5"/>
      <c r="C18" s="5"/>
      <c r="D18" s="5"/>
      <c r="E18" s="5"/>
      <c r="F18" s="5"/>
    </row>
    <row r="19" customFormat="false" ht="15" hidden="false" customHeight="false" outlineLevel="0" collapsed="false">
      <c r="A19" s="3" t="s">
        <v>20</v>
      </c>
      <c r="B19" s="5" t="n">
        <f aca="false">B9-B17</f>
        <v>1135300000</v>
      </c>
      <c r="C19" s="5" t="n">
        <f aca="false">C9-C17</f>
        <v>1360100000</v>
      </c>
      <c r="D19" s="5" t="n">
        <f aca="false">D9-D17</f>
        <v>1411700000</v>
      </c>
      <c r="E19" s="5" t="n">
        <f aca="false">E9-E17</f>
        <v>1392000000</v>
      </c>
      <c r="F19" s="5" t="n">
        <f aca="false">F9-F17</f>
        <v>5299100000</v>
      </c>
    </row>
    <row r="20" customFormat="false" ht="15" hidden="false" customHeight="false" outlineLevel="0" collapsed="false">
      <c r="A20" s="0" t="s">
        <v>21</v>
      </c>
      <c r="B20" s="6" t="n">
        <f aca="false">B19/B9</f>
        <v>0.327931831311381</v>
      </c>
      <c r="C20" s="6" t="n">
        <f aca="false">C19/C9</f>
        <v>0.348305974544803</v>
      </c>
      <c r="D20" s="6" t="n">
        <f aca="false">D19/D9</f>
        <v>0.357021825447004</v>
      </c>
      <c r="E20" s="6" t="n">
        <f aca="false">E19/E9</f>
        <v>0.364531503692453</v>
      </c>
      <c r="F20" s="6" t="n">
        <f aca="false">F19/F9</f>
        <v>0.35001585246638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7" t="s">
        <v>22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</row>
    <row r="4" customFormat="false" ht="15" hidden="false" customHeight="false" outlineLevel="0" collapsed="false">
      <c r="A4" s="0" t="s">
        <v>14</v>
      </c>
      <c r="B4" s="4" t="n">
        <v>4662000000</v>
      </c>
      <c r="C4" s="4" t="n">
        <v>4677900000</v>
      </c>
      <c r="D4" s="4" t="n">
        <f aca="false">C4-B4</f>
        <v>15900000</v>
      </c>
      <c r="E4" s="6" t="n">
        <f aca="false">D4/B4</f>
        <v>0.00341055341055341</v>
      </c>
      <c r="F4" s="0" t="str">
        <f aca="false">IF(D4&gt;0,"Over budget","Within budget")</f>
        <v>Over budget</v>
      </c>
    </row>
    <row r="5" customFormat="false" ht="15" hidden="false" customHeight="false" outlineLevel="0" collapsed="false">
      <c r="A5" s="0" t="s">
        <v>15</v>
      </c>
      <c r="B5" s="4" t="n">
        <v>2604000000</v>
      </c>
      <c r="C5" s="4" t="n">
        <v>2601600000</v>
      </c>
      <c r="D5" s="4" t="n">
        <f aca="false">C5-B5</f>
        <v>-2400000</v>
      </c>
      <c r="E5" s="6" t="n">
        <f aca="false">D5/B5</f>
        <v>-0.000921658986175115</v>
      </c>
      <c r="F5" s="0" t="str">
        <f aca="false">IF(D5&gt;0,"Over budget","Within budget")</f>
        <v>Within budget</v>
      </c>
    </row>
    <row r="6" customFormat="false" ht="15" hidden="false" customHeight="false" outlineLevel="0" collapsed="false">
      <c r="A6" s="0" t="s">
        <v>16</v>
      </c>
      <c r="B6" s="4" t="n">
        <v>1153000000</v>
      </c>
      <c r="C6" s="4" t="n">
        <v>1158000000</v>
      </c>
      <c r="D6" s="4" t="n">
        <f aca="false">C6-B6</f>
        <v>5000000</v>
      </c>
      <c r="E6" s="6" t="n">
        <f aca="false">D6/B6</f>
        <v>0.00433651344319167</v>
      </c>
      <c r="F6" s="0" t="str">
        <f aca="false">IF(D6&gt;0,"Over budget","Within budget")</f>
        <v>Over budget</v>
      </c>
    </row>
    <row r="7" customFormat="false" ht="15" hidden="false" customHeight="false" outlineLevel="0" collapsed="false">
      <c r="A7" s="0" t="s">
        <v>17</v>
      </c>
      <c r="B7" s="4" t="n">
        <v>887000000</v>
      </c>
      <c r="C7" s="4" t="n">
        <v>970600000</v>
      </c>
      <c r="D7" s="4" t="n">
        <f aca="false">C7-B7</f>
        <v>83600000</v>
      </c>
      <c r="E7" s="6" t="n">
        <f aca="false">D7/B7</f>
        <v>0.094250281848929</v>
      </c>
      <c r="F7" s="0" t="str">
        <f aca="false">IF(D7&gt;0,"Over budget","Within budget")</f>
        <v>Over budget</v>
      </c>
    </row>
    <row r="8" customFormat="false" ht="15" hidden="false" customHeight="false" outlineLevel="0" collapsed="false">
      <c r="A8" s="0" t="s">
        <v>18</v>
      </c>
      <c r="B8" s="4" t="n">
        <v>427000000</v>
      </c>
      <c r="C8" s="4" t="n">
        <v>432400000</v>
      </c>
      <c r="D8" s="4" t="n">
        <f aca="false">C8-B8</f>
        <v>5400000</v>
      </c>
      <c r="E8" s="6" t="n">
        <f aca="false">D8/B8</f>
        <v>0.0126463700234192</v>
      </c>
      <c r="F8" s="0" t="str">
        <f aca="false">IF(D8&gt;0,"Over budget","Within budget")</f>
        <v>Over budget</v>
      </c>
    </row>
    <row r="9" customFormat="false" ht="15" hidden="false" customHeight="false" outlineLevel="0" collapsed="false">
      <c r="A9" s="3" t="s">
        <v>29</v>
      </c>
      <c r="B9" s="5" t="n">
        <f aca="false">SUM(B4:B8)</f>
        <v>9733000000</v>
      </c>
      <c r="C9" s="5" t="n">
        <f aca="false">SUM(C4:C8)</f>
        <v>9840500000</v>
      </c>
      <c r="D9" s="5" t="n">
        <f aca="false">C9-B9</f>
        <v>107500000</v>
      </c>
      <c r="E9" s="8" t="n">
        <f aca="false">D9/B9</f>
        <v>0.011044898797904</v>
      </c>
      <c r="F9" s="3" t="str">
        <f aca="false">IF(D9&gt;0,"Over budget","Within budget")</f>
        <v>Over budget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6" min="4" style="0" width="22"/>
  </cols>
  <sheetData>
    <row r="1" customFormat="false" ht="15" hidden="false" customHeight="false" outlineLevel="0" collapsed="false">
      <c r="A1" s="3" t="s">
        <v>30</v>
      </c>
      <c r="B1" s="3" t="s">
        <v>23</v>
      </c>
      <c r="C1" s="3" t="s">
        <v>31</v>
      </c>
      <c r="D1" s="3" t="s">
        <v>32</v>
      </c>
      <c r="E1" s="3" t="s">
        <v>33</v>
      </c>
      <c r="F1" s="3" t="s">
        <v>34</v>
      </c>
    </row>
    <row r="2" customFormat="false" ht="15" hidden="false" customHeight="false" outlineLevel="0" collapsed="false">
      <c r="A2" s="9" t="n">
        <v>45658</v>
      </c>
      <c r="B2" s="10" t="s">
        <v>9</v>
      </c>
      <c r="C2" s="10" t="s">
        <v>35</v>
      </c>
      <c r="D2" s="4" t="n">
        <v>565600000</v>
      </c>
      <c r="E2" s="4"/>
      <c r="F2" s="4"/>
    </row>
    <row r="3" customFormat="false" ht="15" hidden="false" customHeight="false" outlineLevel="0" collapsed="false">
      <c r="A3" s="9" t="n">
        <v>45658</v>
      </c>
      <c r="B3" s="10" t="s">
        <v>10</v>
      </c>
      <c r="C3" s="10" t="s">
        <v>35</v>
      </c>
      <c r="D3" s="4" t="n">
        <v>392200000</v>
      </c>
      <c r="E3" s="4"/>
      <c r="F3" s="4"/>
    </row>
    <row r="4" customFormat="false" ht="15" hidden="false" customHeight="false" outlineLevel="0" collapsed="false">
      <c r="A4" s="9" t="n">
        <v>45658</v>
      </c>
      <c r="B4" s="10" t="s">
        <v>11</v>
      </c>
      <c r="C4" s="10" t="s">
        <v>35</v>
      </c>
      <c r="D4" s="4" t="n">
        <v>140800000</v>
      </c>
      <c r="E4" s="4"/>
      <c r="F4" s="4"/>
    </row>
    <row r="5" customFormat="false" ht="15" hidden="false" customHeight="false" outlineLevel="0" collapsed="false">
      <c r="A5" s="9" t="n">
        <v>45658</v>
      </c>
      <c r="B5" s="10" t="s">
        <v>14</v>
      </c>
      <c r="C5" s="10" t="s">
        <v>36</v>
      </c>
      <c r="D5" s="4"/>
      <c r="E5" s="4" t="n">
        <v>368300000</v>
      </c>
      <c r="F5" s="4" t="n">
        <v>380000000</v>
      </c>
    </row>
    <row r="6" customFormat="false" ht="15" hidden="false" customHeight="false" outlineLevel="0" collapsed="false">
      <c r="A6" s="9" t="n">
        <v>45658</v>
      </c>
      <c r="B6" s="10" t="s">
        <v>15</v>
      </c>
      <c r="C6" s="10" t="s">
        <v>36</v>
      </c>
      <c r="D6" s="4"/>
      <c r="E6" s="4" t="n">
        <v>195600000</v>
      </c>
      <c r="F6" s="4" t="n">
        <v>210000000</v>
      </c>
    </row>
    <row r="7" customFormat="false" ht="15" hidden="false" customHeight="false" outlineLevel="0" collapsed="false">
      <c r="A7" s="9" t="n">
        <v>45658</v>
      </c>
      <c r="B7" s="10" t="s">
        <v>16</v>
      </c>
      <c r="C7" s="10" t="s">
        <v>36</v>
      </c>
      <c r="D7" s="4"/>
      <c r="E7" s="4" t="n">
        <v>86600000</v>
      </c>
      <c r="F7" s="4" t="n">
        <v>95000000</v>
      </c>
    </row>
    <row r="8" customFormat="false" ht="15" hidden="false" customHeight="false" outlineLevel="0" collapsed="false">
      <c r="A8" s="9" t="n">
        <v>45658</v>
      </c>
      <c r="B8" s="10" t="s">
        <v>17</v>
      </c>
      <c r="C8" s="10" t="s">
        <v>36</v>
      </c>
      <c r="D8" s="4"/>
      <c r="E8" s="4" t="n">
        <v>67600000</v>
      </c>
      <c r="F8" s="4" t="n">
        <v>70000000</v>
      </c>
    </row>
    <row r="9" customFormat="false" ht="15" hidden="false" customHeight="false" outlineLevel="0" collapsed="false">
      <c r="A9" s="9" t="n">
        <v>45658</v>
      </c>
      <c r="B9" s="10" t="s">
        <v>18</v>
      </c>
      <c r="C9" s="10" t="s">
        <v>36</v>
      </c>
      <c r="D9" s="4"/>
      <c r="E9" s="4" t="n">
        <v>33400000</v>
      </c>
      <c r="F9" s="4" t="n">
        <v>35000000</v>
      </c>
    </row>
    <row r="10" customFormat="false" ht="15" hidden="false" customHeight="false" outlineLevel="0" collapsed="false">
      <c r="A10" s="9" t="n">
        <v>45689</v>
      </c>
      <c r="B10" s="10" t="s">
        <v>9</v>
      </c>
      <c r="C10" s="10" t="s">
        <v>35</v>
      </c>
      <c r="D10" s="4" t="n">
        <v>595800000</v>
      </c>
      <c r="E10" s="4"/>
      <c r="F10" s="4"/>
    </row>
    <row r="11" customFormat="false" ht="15" hidden="false" customHeight="false" outlineLevel="0" collapsed="false">
      <c r="A11" s="9" t="n">
        <v>45689</v>
      </c>
      <c r="B11" s="10" t="s">
        <v>10</v>
      </c>
      <c r="C11" s="10" t="s">
        <v>35</v>
      </c>
      <c r="D11" s="4" t="n">
        <v>397900000</v>
      </c>
      <c r="E11" s="4"/>
      <c r="F11" s="4"/>
    </row>
    <row r="12" customFormat="false" ht="15" hidden="false" customHeight="false" outlineLevel="0" collapsed="false">
      <c r="A12" s="9" t="n">
        <v>45689</v>
      </c>
      <c r="B12" s="10" t="s">
        <v>11</v>
      </c>
      <c r="C12" s="10" t="s">
        <v>35</v>
      </c>
      <c r="D12" s="4" t="n">
        <v>138100000</v>
      </c>
      <c r="E12" s="4"/>
      <c r="F12" s="4"/>
    </row>
    <row r="13" customFormat="false" ht="15" hidden="false" customHeight="false" outlineLevel="0" collapsed="false">
      <c r="A13" s="9" t="n">
        <v>45689</v>
      </c>
      <c r="B13" s="10" t="s">
        <v>14</v>
      </c>
      <c r="C13" s="10" t="s">
        <v>36</v>
      </c>
      <c r="D13" s="4"/>
      <c r="E13" s="4" t="n">
        <v>362300000</v>
      </c>
      <c r="F13" s="4" t="n">
        <v>382000000</v>
      </c>
    </row>
    <row r="14" customFormat="false" ht="15" hidden="false" customHeight="false" outlineLevel="0" collapsed="false">
      <c r="A14" s="9" t="n">
        <v>45689</v>
      </c>
      <c r="B14" s="10" t="s">
        <v>15</v>
      </c>
      <c r="C14" s="10" t="s">
        <v>36</v>
      </c>
      <c r="D14" s="4"/>
      <c r="E14" s="4" t="n">
        <v>200600000</v>
      </c>
      <c r="F14" s="4" t="n">
        <v>211000000</v>
      </c>
    </row>
    <row r="15" customFormat="false" ht="15" hidden="false" customHeight="false" outlineLevel="0" collapsed="false">
      <c r="A15" s="9" t="n">
        <v>45689</v>
      </c>
      <c r="B15" s="10" t="s">
        <v>16</v>
      </c>
      <c r="C15" s="10" t="s">
        <v>36</v>
      </c>
      <c r="D15" s="4"/>
      <c r="E15" s="4" t="n">
        <v>95300000</v>
      </c>
      <c r="F15" s="4" t="n">
        <v>95000000</v>
      </c>
    </row>
    <row r="16" customFormat="false" ht="15" hidden="false" customHeight="false" outlineLevel="0" collapsed="false">
      <c r="A16" s="9" t="n">
        <v>45689</v>
      </c>
      <c r="B16" s="10" t="s">
        <v>17</v>
      </c>
      <c r="C16" s="10" t="s">
        <v>36</v>
      </c>
      <c r="D16" s="4"/>
      <c r="E16" s="4" t="n">
        <v>67000000</v>
      </c>
      <c r="F16" s="4" t="n">
        <v>71000000</v>
      </c>
    </row>
    <row r="17" customFormat="false" ht="15" hidden="false" customHeight="false" outlineLevel="0" collapsed="false">
      <c r="A17" s="9" t="n">
        <v>45689</v>
      </c>
      <c r="B17" s="10" t="s">
        <v>18</v>
      </c>
      <c r="C17" s="10" t="s">
        <v>36</v>
      </c>
      <c r="D17" s="4"/>
      <c r="E17" s="4" t="n">
        <v>35200000</v>
      </c>
      <c r="F17" s="4" t="n">
        <v>35000000</v>
      </c>
    </row>
    <row r="18" customFormat="false" ht="15" hidden="false" customHeight="false" outlineLevel="0" collapsed="false">
      <c r="A18" s="9" t="n">
        <v>45717</v>
      </c>
      <c r="B18" s="10" t="s">
        <v>9</v>
      </c>
      <c r="C18" s="10" t="s">
        <v>35</v>
      </c>
      <c r="D18" s="4" t="n">
        <v>665000000</v>
      </c>
      <c r="E18" s="4"/>
      <c r="F18" s="4"/>
    </row>
    <row r="19" customFormat="false" ht="15" hidden="false" customHeight="false" outlineLevel="0" collapsed="false">
      <c r="A19" s="9" t="n">
        <v>45717</v>
      </c>
      <c r="B19" s="10" t="s">
        <v>10</v>
      </c>
      <c r="C19" s="10" t="s">
        <v>35</v>
      </c>
      <c r="D19" s="4" t="n">
        <v>410100000</v>
      </c>
      <c r="E19" s="4"/>
      <c r="F19" s="4"/>
    </row>
    <row r="20" customFormat="false" ht="15" hidden="false" customHeight="false" outlineLevel="0" collapsed="false">
      <c r="A20" s="9" t="n">
        <v>45717</v>
      </c>
      <c r="B20" s="10" t="s">
        <v>11</v>
      </c>
      <c r="C20" s="10" t="s">
        <v>35</v>
      </c>
      <c r="D20" s="4" t="n">
        <v>156500000</v>
      </c>
      <c r="E20" s="4"/>
      <c r="F20" s="4"/>
    </row>
    <row r="21" customFormat="false" ht="15" hidden="false" customHeight="false" outlineLevel="0" collapsed="false">
      <c r="A21" s="9" t="n">
        <v>45717</v>
      </c>
      <c r="B21" s="10" t="s">
        <v>14</v>
      </c>
      <c r="C21" s="10" t="s">
        <v>36</v>
      </c>
      <c r="D21" s="4"/>
      <c r="E21" s="4" t="n">
        <v>400200000</v>
      </c>
      <c r="F21" s="4" t="n">
        <v>383000000</v>
      </c>
    </row>
    <row r="22" customFormat="false" ht="15" hidden="false" customHeight="false" outlineLevel="0" collapsed="false">
      <c r="A22" s="9" t="n">
        <v>45717</v>
      </c>
      <c r="B22" s="10" t="s">
        <v>15</v>
      </c>
      <c r="C22" s="10" t="s">
        <v>36</v>
      </c>
      <c r="D22" s="4"/>
      <c r="E22" s="4" t="n">
        <v>218000000</v>
      </c>
      <c r="F22" s="4" t="n">
        <v>213000000</v>
      </c>
    </row>
    <row r="23" customFormat="false" ht="15" hidden="false" customHeight="false" outlineLevel="0" collapsed="false">
      <c r="A23" s="9" t="n">
        <v>45717</v>
      </c>
      <c r="B23" s="10" t="s">
        <v>16</v>
      </c>
      <c r="C23" s="10" t="s">
        <v>36</v>
      </c>
      <c r="D23" s="4"/>
      <c r="E23" s="4" t="n">
        <v>93900000</v>
      </c>
      <c r="F23" s="4" t="n">
        <v>95000000</v>
      </c>
    </row>
    <row r="24" customFormat="false" ht="15" hidden="false" customHeight="false" outlineLevel="0" collapsed="false">
      <c r="A24" s="9" t="n">
        <v>45717</v>
      </c>
      <c r="B24" s="10" t="s">
        <v>17</v>
      </c>
      <c r="C24" s="10" t="s">
        <v>36</v>
      </c>
      <c r="D24" s="4"/>
      <c r="E24" s="4" t="n">
        <v>68600000</v>
      </c>
      <c r="F24" s="4" t="n">
        <v>71000000</v>
      </c>
    </row>
    <row r="25" customFormat="false" ht="15" hidden="false" customHeight="false" outlineLevel="0" collapsed="false">
      <c r="A25" s="9" t="n">
        <v>45717</v>
      </c>
      <c r="B25" s="10" t="s">
        <v>18</v>
      </c>
      <c r="C25" s="10" t="s">
        <v>36</v>
      </c>
      <c r="D25" s="4"/>
      <c r="E25" s="4" t="n">
        <v>34100000</v>
      </c>
      <c r="F25" s="4" t="n">
        <v>35000000</v>
      </c>
    </row>
    <row r="26" customFormat="false" ht="15" hidden="false" customHeight="false" outlineLevel="0" collapsed="false">
      <c r="A26" s="9" t="n">
        <v>45748</v>
      </c>
      <c r="B26" s="10" t="s">
        <v>9</v>
      </c>
      <c r="C26" s="10" t="s">
        <v>35</v>
      </c>
      <c r="D26" s="4" t="n">
        <v>679600000</v>
      </c>
      <c r="E26" s="4"/>
      <c r="F26" s="4"/>
    </row>
    <row r="27" customFormat="false" ht="15" hidden="false" customHeight="false" outlineLevel="0" collapsed="false">
      <c r="A27" s="9" t="n">
        <v>45748</v>
      </c>
      <c r="B27" s="10" t="s">
        <v>10</v>
      </c>
      <c r="C27" s="10" t="s">
        <v>35</v>
      </c>
      <c r="D27" s="4" t="n">
        <v>442700000</v>
      </c>
      <c r="E27" s="4"/>
      <c r="F27" s="4"/>
    </row>
    <row r="28" customFormat="false" ht="15" hidden="false" customHeight="false" outlineLevel="0" collapsed="false">
      <c r="A28" s="9" t="n">
        <v>45748</v>
      </c>
      <c r="B28" s="10" t="s">
        <v>11</v>
      </c>
      <c r="C28" s="10" t="s">
        <v>35</v>
      </c>
      <c r="D28" s="4" t="n">
        <v>152000000</v>
      </c>
      <c r="E28" s="4"/>
      <c r="F28" s="4"/>
    </row>
    <row r="29" customFormat="false" ht="15" hidden="false" customHeight="false" outlineLevel="0" collapsed="false">
      <c r="A29" s="9" t="n">
        <v>45748</v>
      </c>
      <c r="B29" s="10" t="s">
        <v>14</v>
      </c>
      <c r="C29" s="10" t="s">
        <v>36</v>
      </c>
      <c r="D29" s="4"/>
      <c r="E29" s="4" t="n">
        <v>395300000</v>
      </c>
      <c r="F29" s="4" t="n">
        <v>385000000</v>
      </c>
    </row>
    <row r="30" customFormat="false" ht="15" hidden="false" customHeight="false" outlineLevel="0" collapsed="false">
      <c r="A30" s="9" t="n">
        <v>45748</v>
      </c>
      <c r="B30" s="10" t="s">
        <v>15</v>
      </c>
      <c r="C30" s="10" t="s">
        <v>36</v>
      </c>
      <c r="D30" s="4"/>
      <c r="E30" s="4" t="n">
        <v>213200000</v>
      </c>
      <c r="F30" s="4" t="n">
        <v>214000000</v>
      </c>
    </row>
    <row r="31" customFormat="false" ht="15" hidden="false" customHeight="false" outlineLevel="0" collapsed="false">
      <c r="A31" s="9" t="n">
        <v>45748</v>
      </c>
      <c r="B31" s="10" t="s">
        <v>16</v>
      </c>
      <c r="C31" s="10" t="s">
        <v>36</v>
      </c>
      <c r="D31" s="4"/>
      <c r="E31" s="4" t="n">
        <v>99000000</v>
      </c>
      <c r="F31" s="4" t="n">
        <v>96000000</v>
      </c>
    </row>
    <row r="32" customFormat="false" ht="15" hidden="false" customHeight="false" outlineLevel="0" collapsed="false">
      <c r="A32" s="9" t="n">
        <v>45748</v>
      </c>
      <c r="B32" s="10" t="s">
        <v>17</v>
      </c>
      <c r="C32" s="10" t="s">
        <v>36</v>
      </c>
      <c r="D32" s="4"/>
      <c r="E32" s="4" t="n">
        <v>124300000</v>
      </c>
      <c r="F32" s="4" t="n">
        <v>72000000</v>
      </c>
    </row>
    <row r="33" customFormat="false" ht="15" hidden="false" customHeight="false" outlineLevel="0" collapsed="false">
      <c r="A33" s="9" t="n">
        <v>45748</v>
      </c>
      <c r="B33" s="10" t="s">
        <v>18</v>
      </c>
      <c r="C33" s="10" t="s">
        <v>36</v>
      </c>
      <c r="D33" s="4"/>
      <c r="E33" s="4" t="n">
        <v>36400000</v>
      </c>
      <c r="F33" s="4" t="n">
        <v>35000000</v>
      </c>
    </row>
    <row r="34" customFormat="false" ht="15" hidden="false" customHeight="false" outlineLevel="0" collapsed="false">
      <c r="A34" s="9" t="n">
        <v>45778</v>
      </c>
      <c r="B34" s="10" t="s">
        <v>9</v>
      </c>
      <c r="C34" s="10" t="s">
        <v>35</v>
      </c>
      <c r="D34" s="4" t="n">
        <v>666800000</v>
      </c>
      <c r="E34" s="4"/>
      <c r="F34" s="4"/>
    </row>
    <row r="35" customFormat="false" ht="15" hidden="false" customHeight="false" outlineLevel="0" collapsed="false">
      <c r="A35" s="9" t="n">
        <v>45778</v>
      </c>
      <c r="B35" s="10" t="s">
        <v>10</v>
      </c>
      <c r="C35" s="10" t="s">
        <v>35</v>
      </c>
      <c r="D35" s="4" t="n">
        <v>479700000</v>
      </c>
      <c r="E35" s="4"/>
      <c r="F35" s="4"/>
    </row>
    <row r="36" customFormat="false" ht="15" hidden="false" customHeight="false" outlineLevel="0" collapsed="false">
      <c r="A36" s="9" t="n">
        <v>45778</v>
      </c>
      <c r="B36" s="10" t="s">
        <v>11</v>
      </c>
      <c r="C36" s="10" t="s">
        <v>35</v>
      </c>
      <c r="D36" s="4" t="n">
        <v>156900000</v>
      </c>
      <c r="E36" s="4"/>
      <c r="F36" s="4"/>
    </row>
    <row r="37" customFormat="false" ht="15" hidden="false" customHeight="false" outlineLevel="0" collapsed="false">
      <c r="A37" s="9" t="n">
        <v>45778</v>
      </c>
      <c r="B37" s="10" t="s">
        <v>14</v>
      </c>
      <c r="C37" s="10" t="s">
        <v>36</v>
      </c>
      <c r="D37" s="4"/>
      <c r="E37" s="4" t="n">
        <v>389600000</v>
      </c>
      <c r="F37" s="4" t="n">
        <v>386000000</v>
      </c>
    </row>
    <row r="38" customFormat="false" ht="15" hidden="false" customHeight="false" outlineLevel="0" collapsed="false">
      <c r="A38" s="9" t="n">
        <v>45778</v>
      </c>
      <c r="B38" s="10" t="s">
        <v>15</v>
      </c>
      <c r="C38" s="10" t="s">
        <v>36</v>
      </c>
      <c r="D38" s="4"/>
      <c r="E38" s="4" t="n">
        <v>226600000</v>
      </c>
      <c r="F38" s="4" t="n">
        <v>215000000</v>
      </c>
    </row>
    <row r="39" customFormat="false" ht="15" hidden="false" customHeight="false" outlineLevel="0" collapsed="false">
      <c r="A39" s="9" t="n">
        <v>45778</v>
      </c>
      <c r="B39" s="10" t="s">
        <v>16</v>
      </c>
      <c r="C39" s="10" t="s">
        <v>36</v>
      </c>
      <c r="D39" s="4"/>
      <c r="E39" s="4" t="n">
        <v>104300000</v>
      </c>
      <c r="F39" s="4" t="n">
        <v>96000000</v>
      </c>
    </row>
    <row r="40" customFormat="false" ht="15" hidden="false" customHeight="false" outlineLevel="0" collapsed="false">
      <c r="A40" s="9" t="n">
        <v>45778</v>
      </c>
      <c r="B40" s="10" t="s">
        <v>17</v>
      </c>
      <c r="C40" s="10" t="s">
        <v>36</v>
      </c>
      <c r="D40" s="4"/>
      <c r="E40" s="4" t="n">
        <v>75300000</v>
      </c>
      <c r="F40" s="4" t="n">
        <v>73000000</v>
      </c>
    </row>
    <row r="41" customFormat="false" ht="15" hidden="false" customHeight="false" outlineLevel="0" collapsed="false">
      <c r="A41" s="9" t="n">
        <v>45778</v>
      </c>
      <c r="B41" s="10" t="s">
        <v>18</v>
      </c>
      <c r="C41" s="10" t="s">
        <v>36</v>
      </c>
      <c r="D41" s="4"/>
      <c r="E41" s="4" t="n">
        <v>39400000</v>
      </c>
      <c r="F41" s="4" t="n">
        <v>35000000</v>
      </c>
    </row>
    <row r="42" customFormat="false" ht="15" hidden="false" customHeight="false" outlineLevel="0" collapsed="false">
      <c r="A42" s="9" t="n">
        <v>45809</v>
      </c>
      <c r="B42" s="10" t="s">
        <v>9</v>
      </c>
      <c r="C42" s="10" t="s">
        <v>35</v>
      </c>
      <c r="D42" s="4" t="n">
        <v>704500000</v>
      </c>
      <c r="E42" s="4"/>
      <c r="F42" s="4"/>
    </row>
    <row r="43" customFormat="false" ht="15" hidden="false" customHeight="false" outlineLevel="0" collapsed="false">
      <c r="A43" s="9" t="n">
        <v>45809</v>
      </c>
      <c r="B43" s="10" t="s">
        <v>10</v>
      </c>
      <c r="C43" s="10" t="s">
        <v>35</v>
      </c>
      <c r="D43" s="4" t="n">
        <v>462800000</v>
      </c>
      <c r="E43" s="4"/>
      <c r="F43" s="4"/>
    </row>
    <row r="44" customFormat="false" ht="15" hidden="false" customHeight="false" outlineLevel="0" collapsed="false">
      <c r="A44" s="9" t="n">
        <v>45809</v>
      </c>
      <c r="B44" s="10" t="s">
        <v>11</v>
      </c>
      <c r="C44" s="10" t="s">
        <v>35</v>
      </c>
      <c r="D44" s="4" t="n">
        <v>159900000</v>
      </c>
      <c r="E44" s="4"/>
      <c r="F44" s="4"/>
    </row>
    <row r="45" customFormat="false" ht="15" hidden="false" customHeight="false" outlineLevel="0" collapsed="false">
      <c r="A45" s="9" t="n">
        <v>45809</v>
      </c>
      <c r="B45" s="10" t="s">
        <v>14</v>
      </c>
      <c r="C45" s="10" t="s">
        <v>36</v>
      </c>
      <c r="D45" s="4"/>
      <c r="E45" s="4" t="n">
        <v>405700000</v>
      </c>
      <c r="F45" s="4" t="n">
        <v>388000000</v>
      </c>
    </row>
    <row r="46" customFormat="false" ht="15" hidden="false" customHeight="false" outlineLevel="0" collapsed="false">
      <c r="A46" s="9" t="n">
        <v>45809</v>
      </c>
      <c r="B46" s="10" t="s">
        <v>15</v>
      </c>
      <c r="C46" s="10" t="s">
        <v>36</v>
      </c>
      <c r="D46" s="4"/>
      <c r="E46" s="4" t="n">
        <v>223000000</v>
      </c>
      <c r="F46" s="4" t="n">
        <v>216000000</v>
      </c>
    </row>
    <row r="47" customFormat="false" ht="15" hidden="false" customHeight="false" outlineLevel="0" collapsed="false">
      <c r="A47" s="9" t="n">
        <v>45809</v>
      </c>
      <c r="B47" s="10" t="s">
        <v>16</v>
      </c>
      <c r="C47" s="10" t="s">
        <v>36</v>
      </c>
      <c r="D47" s="4"/>
      <c r="E47" s="4" t="n">
        <v>98600000</v>
      </c>
      <c r="F47" s="4" t="n">
        <v>96000000</v>
      </c>
    </row>
    <row r="48" customFormat="false" ht="15" hidden="false" customHeight="false" outlineLevel="0" collapsed="false">
      <c r="A48" s="9" t="n">
        <v>45809</v>
      </c>
      <c r="B48" s="10" t="s">
        <v>17</v>
      </c>
      <c r="C48" s="10" t="s">
        <v>36</v>
      </c>
      <c r="D48" s="4"/>
      <c r="E48" s="4" t="n">
        <v>75200000</v>
      </c>
      <c r="F48" s="4" t="n">
        <v>74000000</v>
      </c>
    </row>
    <row r="49" customFormat="false" ht="15" hidden="false" customHeight="false" outlineLevel="0" collapsed="false">
      <c r="A49" s="9" t="n">
        <v>45809</v>
      </c>
      <c r="B49" s="10" t="s">
        <v>18</v>
      </c>
      <c r="C49" s="10" t="s">
        <v>36</v>
      </c>
      <c r="D49" s="4"/>
      <c r="E49" s="4" t="n">
        <v>38900000</v>
      </c>
      <c r="F49" s="4" t="n">
        <v>36000000</v>
      </c>
    </row>
    <row r="50" customFormat="false" ht="15" hidden="false" customHeight="false" outlineLevel="0" collapsed="false">
      <c r="A50" s="9" t="n">
        <v>45839</v>
      </c>
      <c r="B50" s="10" t="s">
        <v>9</v>
      </c>
      <c r="C50" s="10" t="s">
        <v>35</v>
      </c>
      <c r="D50" s="4" t="n">
        <v>700800000</v>
      </c>
      <c r="E50" s="4"/>
      <c r="F50" s="4"/>
    </row>
    <row r="51" customFormat="false" ht="15" hidden="false" customHeight="false" outlineLevel="0" collapsed="false">
      <c r="A51" s="9" t="n">
        <v>45839</v>
      </c>
      <c r="B51" s="10" t="s">
        <v>10</v>
      </c>
      <c r="C51" s="10" t="s">
        <v>35</v>
      </c>
      <c r="D51" s="4" t="n">
        <v>480000000</v>
      </c>
      <c r="E51" s="4"/>
      <c r="F51" s="4"/>
    </row>
    <row r="52" customFormat="false" ht="15" hidden="false" customHeight="false" outlineLevel="0" collapsed="false">
      <c r="A52" s="9" t="n">
        <v>45839</v>
      </c>
      <c r="B52" s="10" t="s">
        <v>11</v>
      </c>
      <c r="C52" s="10" t="s">
        <v>35</v>
      </c>
      <c r="D52" s="4" t="n">
        <v>164100000</v>
      </c>
      <c r="E52" s="4"/>
      <c r="F52" s="4"/>
    </row>
    <row r="53" customFormat="false" ht="15" hidden="false" customHeight="false" outlineLevel="0" collapsed="false">
      <c r="A53" s="9" t="n">
        <v>45839</v>
      </c>
      <c r="B53" s="10" t="s">
        <v>14</v>
      </c>
      <c r="C53" s="10" t="s">
        <v>36</v>
      </c>
      <c r="D53" s="4"/>
      <c r="E53" s="4" t="n">
        <v>419500000</v>
      </c>
      <c r="F53" s="4" t="n">
        <v>389000000</v>
      </c>
    </row>
    <row r="54" customFormat="false" ht="15" hidden="false" customHeight="false" outlineLevel="0" collapsed="false">
      <c r="A54" s="9" t="n">
        <v>45839</v>
      </c>
      <c r="B54" s="10" t="s">
        <v>15</v>
      </c>
      <c r="C54" s="10" t="s">
        <v>36</v>
      </c>
      <c r="D54" s="4"/>
      <c r="E54" s="4" t="n">
        <v>231700000</v>
      </c>
      <c r="F54" s="4" t="n">
        <v>218000000</v>
      </c>
    </row>
    <row r="55" customFormat="false" ht="15" hidden="false" customHeight="false" outlineLevel="0" collapsed="false">
      <c r="A55" s="9" t="n">
        <v>45839</v>
      </c>
      <c r="B55" s="10" t="s">
        <v>16</v>
      </c>
      <c r="C55" s="10" t="s">
        <v>36</v>
      </c>
      <c r="D55" s="4"/>
      <c r="E55" s="4" t="n">
        <v>100000000</v>
      </c>
      <c r="F55" s="4" t="n">
        <v>96000000</v>
      </c>
    </row>
    <row r="56" customFormat="false" ht="15" hidden="false" customHeight="false" outlineLevel="0" collapsed="false">
      <c r="A56" s="9" t="n">
        <v>45839</v>
      </c>
      <c r="B56" s="10" t="s">
        <v>17</v>
      </c>
      <c r="C56" s="10" t="s">
        <v>36</v>
      </c>
      <c r="D56" s="4"/>
      <c r="E56" s="4" t="n">
        <v>75500000</v>
      </c>
      <c r="F56" s="4" t="n">
        <v>74000000</v>
      </c>
    </row>
    <row r="57" customFormat="false" ht="15" hidden="false" customHeight="false" outlineLevel="0" collapsed="false">
      <c r="A57" s="9" t="n">
        <v>45839</v>
      </c>
      <c r="B57" s="10" t="s">
        <v>18</v>
      </c>
      <c r="C57" s="10" t="s">
        <v>36</v>
      </c>
      <c r="D57" s="4"/>
      <c r="E57" s="4" t="n">
        <v>37900000</v>
      </c>
      <c r="F57" s="4" t="n">
        <v>36000000</v>
      </c>
    </row>
    <row r="58" customFormat="false" ht="15" hidden="false" customHeight="false" outlineLevel="0" collapsed="false">
      <c r="A58" s="9" t="n">
        <v>45870</v>
      </c>
      <c r="B58" s="10" t="s">
        <v>9</v>
      </c>
      <c r="C58" s="10" t="s">
        <v>35</v>
      </c>
      <c r="D58" s="4" t="n">
        <v>686600000</v>
      </c>
      <c r="E58" s="4"/>
      <c r="F58" s="4"/>
    </row>
    <row r="59" customFormat="false" ht="15" hidden="false" customHeight="false" outlineLevel="0" collapsed="false">
      <c r="A59" s="9" t="n">
        <v>45870</v>
      </c>
      <c r="B59" s="10" t="s">
        <v>10</v>
      </c>
      <c r="C59" s="10" t="s">
        <v>35</v>
      </c>
      <c r="D59" s="4" t="n">
        <v>481600000</v>
      </c>
      <c r="E59" s="4"/>
      <c r="F59" s="4"/>
    </row>
    <row r="60" customFormat="false" ht="15" hidden="false" customHeight="false" outlineLevel="0" collapsed="false">
      <c r="A60" s="9" t="n">
        <v>45870</v>
      </c>
      <c r="B60" s="10" t="s">
        <v>11</v>
      </c>
      <c r="C60" s="10" t="s">
        <v>35</v>
      </c>
      <c r="D60" s="4" t="n">
        <v>165200000</v>
      </c>
      <c r="E60" s="4"/>
      <c r="F60" s="4"/>
    </row>
    <row r="61" customFormat="false" ht="15" hidden="false" customHeight="false" outlineLevel="0" collapsed="false">
      <c r="A61" s="9" t="n">
        <v>45870</v>
      </c>
      <c r="B61" s="10" t="s">
        <v>14</v>
      </c>
      <c r="C61" s="10" t="s">
        <v>36</v>
      </c>
      <c r="D61" s="4"/>
      <c r="E61" s="4" t="n">
        <v>403800000</v>
      </c>
      <c r="F61" s="4" t="n">
        <v>391000000</v>
      </c>
    </row>
    <row r="62" customFormat="false" ht="15" hidden="false" customHeight="false" outlineLevel="0" collapsed="false">
      <c r="A62" s="9" t="n">
        <v>45870</v>
      </c>
      <c r="B62" s="10" t="s">
        <v>15</v>
      </c>
      <c r="C62" s="10" t="s">
        <v>36</v>
      </c>
      <c r="D62" s="4"/>
      <c r="E62" s="4" t="n">
        <v>224800000</v>
      </c>
      <c r="F62" s="4" t="n">
        <v>219000000</v>
      </c>
    </row>
    <row r="63" customFormat="false" ht="15" hidden="false" customHeight="false" outlineLevel="0" collapsed="false">
      <c r="A63" s="9" t="n">
        <v>45870</v>
      </c>
      <c r="B63" s="10" t="s">
        <v>16</v>
      </c>
      <c r="C63" s="10" t="s">
        <v>36</v>
      </c>
      <c r="D63" s="4"/>
      <c r="E63" s="4" t="n">
        <v>96600000</v>
      </c>
      <c r="F63" s="4" t="n">
        <v>96000000</v>
      </c>
    </row>
    <row r="64" customFormat="false" ht="15" hidden="false" customHeight="false" outlineLevel="0" collapsed="false">
      <c r="A64" s="9" t="n">
        <v>45870</v>
      </c>
      <c r="B64" s="10" t="s">
        <v>17</v>
      </c>
      <c r="C64" s="10" t="s">
        <v>36</v>
      </c>
      <c r="D64" s="4"/>
      <c r="E64" s="4" t="n">
        <v>75600000</v>
      </c>
      <c r="F64" s="4" t="n">
        <v>75000000</v>
      </c>
    </row>
    <row r="65" customFormat="false" ht="15" hidden="false" customHeight="false" outlineLevel="0" collapsed="false">
      <c r="A65" s="9" t="n">
        <v>45870</v>
      </c>
      <c r="B65" s="10" t="s">
        <v>18</v>
      </c>
      <c r="C65" s="10" t="s">
        <v>36</v>
      </c>
      <c r="D65" s="4"/>
      <c r="E65" s="4" t="n">
        <v>37400000</v>
      </c>
      <c r="F65" s="4" t="n">
        <v>36000000</v>
      </c>
    </row>
    <row r="66" customFormat="false" ht="15" hidden="false" customHeight="false" outlineLevel="0" collapsed="false">
      <c r="A66" s="9" t="n">
        <v>45901</v>
      </c>
      <c r="B66" s="10" t="s">
        <v>9</v>
      </c>
      <c r="C66" s="10" t="s">
        <v>35</v>
      </c>
      <c r="D66" s="4" t="n">
        <v>646200000</v>
      </c>
      <c r="E66" s="4"/>
      <c r="F66" s="4"/>
    </row>
    <row r="67" customFormat="false" ht="15" hidden="false" customHeight="false" outlineLevel="0" collapsed="false">
      <c r="A67" s="9" t="n">
        <v>45901</v>
      </c>
      <c r="B67" s="10" t="s">
        <v>10</v>
      </c>
      <c r="C67" s="10" t="s">
        <v>35</v>
      </c>
      <c r="D67" s="4" t="n">
        <v>470500000</v>
      </c>
      <c r="E67" s="4"/>
      <c r="F67" s="4"/>
    </row>
    <row r="68" customFormat="false" ht="15" hidden="false" customHeight="false" outlineLevel="0" collapsed="false">
      <c r="A68" s="9" t="n">
        <v>45901</v>
      </c>
      <c r="B68" s="10" t="s">
        <v>11</v>
      </c>
      <c r="C68" s="10" t="s">
        <v>35</v>
      </c>
      <c r="D68" s="4" t="n">
        <v>159100000</v>
      </c>
      <c r="E68" s="4"/>
      <c r="F68" s="4"/>
    </row>
    <row r="69" customFormat="false" ht="15" hidden="false" customHeight="false" outlineLevel="0" collapsed="false">
      <c r="A69" s="9" t="n">
        <v>45901</v>
      </c>
      <c r="B69" s="10" t="s">
        <v>14</v>
      </c>
      <c r="C69" s="10" t="s">
        <v>36</v>
      </c>
      <c r="D69" s="4"/>
      <c r="E69" s="4" t="n">
        <v>395300000</v>
      </c>
      <c r="F69" s="4" t="n">
        <v>392000000</v>
      </c>
    </row>
    <row r="70" customFormat="false" ht="15" hidden="false" customHeight="false" outlineLevel="0" collapsed="false">
      <c r="A70" s="9" t="n">
        <v>45901</v>
      </c>
      <c r="B70" s="10" t="s">
        <v>15</v>
      </c>
      <c r="C70" s="10" t="s">
        <v>36</v>
      </c>
      <c r="D70" s="4"/>
      <c r="E70" s="4" t="n">
        <v>230700000</v>
      </c>
      <c r="F70" s="4" t="n">
        <v>220000000</v>
      </c>
    </row>
    <row r="71" customFormat="false" ht="15" hidden="false" customHeight="false" outlineLevel="0" collapsed="false">
      <c r="A71" s="9" t="n">
        <v>45901</v>
      </c>
      <c r="B71" s="10" t="s">
        <v>16</v>
      </c>
      <c r="C71" s="10" t="s">
        <v>36</v>
      </c>
      <c r="D71" s="4"/>
      <c r="E71" s="4" t="n">
        <v>100600000</v>
      </c>
      <c r="F71" s="4" t="n">
        <v>97000000</v>
      </c>
    </row>
    <row r="72" customFormat="false" ht="15" hidden="false" customHeight="false" outlineLevel="0" collapsed="false">
      <c r="A72" s="9" t="n">
        <v>45901</v>
      </c>
      <c r="B72" s="10" t="s">
        <v>17</v>
      </c>
      <c r="C72" s="10" t="s">
        <v>36</v>
      </c>
      <c r="D72" s="4"/>
      <c r="E72" s="4" t="n">
        <v>76500000</v>
      </c>
      <c r="F72" s="4" t="n">
        <v>76000000</v>
      </c>
    </row>
    <row r="73" customFormat="false" ht="15" hidden="false" customHeight="false" outlineLevel="0" collapsed="false">
      <c r="A73" s="9" t="n">
        <v>45901</v>
      </c>
      <c r="B73" s="10" t="s">
        <v>18</v>
      </c>
      <c r="C73" s="10" t="s">
        <v>36</v>
      </c>
      <c r="D73" s="4"/>
      <c r="E73" s="4" t="n">
        <v>36500000</v>
      </c>
      <c r="F73" s="4" t="n">
        <v>36000000</v>
      </c>
    </row>
    <row r="74" customFormat="false" ht="15" hidden="false" customHeight="false" outlineLevel="0" collapsed="false">
      <c r="A74" s="9" t="n">
        <v>45931</v>
      </c>
      <c r="B74" s="10" t="s">
        <v>9</v>
      </c>
      <c r="C74" s="10" t="s">
        <v>35</v>
      </c>
      <c r="D74" s="4" t="n">
        <v>642600000</v>
      </c>
      <c r="E74" s="4"/>
      <c r="F74" s="4"/>
    </row>
    <row r="75" customFormat="false" ht="15" hidden="false" customHeight="false" outlineLevel="0" collapsed="false">
      <c r="A75" s="9" t="n">
        <v>45931</v>
      </c>
      <c r="B75" s="10" t="s">
        <v>10</v>
      </c>
      <c r="C75" s="10" t="s">
        <v>35</v>
      </c>
      <c r="D75" s="4" t="n">
        <v>458800000</v>
      </c>
      <c r="E75" s="4"/>
      <c r="F75" s="4"/>
    </row>
    <row r="76" customFormat="false" ht="15" hidden="false" customHeight="false" outlineLevel="0" collapsed="false">
      <c r="A76" s="9" t="n">
        <v>45931</v>
      </c>
      <c r="B76" s="10" t="s">
        <v>11</v>
      </c>
      <c r="C76" s="10" t="s">
        <v>35</v>
      </c>
      <c r="D76" s="4" t="n">
        <v>145700000</v>
      </c>
      <c r="E76" s="4"/>
      <c r="F76" s="4"/>
    </row>
    <row r="77" customFormat="false" ht="15" hidden="false" customHeight="false" outlineLevel="0" collapsed="false">
      <c r="A77" s="9" t="n">
        <v>45931</v>
      </c>
      <c r="B77" s="10" t="s">
        <v>14</v>
      </c>
      <c r="C77" s="10" t="s">
        <v>36</v>
      </c>
      <c r="D77" s="4"/>
      <c r="E77" s="4" t="n">
        <v>378100000</v>
      </c>
      <c r="F77" s="4" t="n">
        <v>394000000</v>
      </c>
    </row>
    <row r="78" customFormat="false" ht="15" hidden="false" customHeight="false" outlineLevel="0" collapsed="false">
      <c r="A78" s="9" t="n">
        <v>45931</v>
      </c>
      <c r="B78" s="10" t="s">
        <v>15</v>
      </c>
      <c r="C78" s="10" t="s">
        <v>36</v>
      </c>
      <c r="D78" s="4"/>
      <c r="E78" s="4" t="n">
        <v>204400000</v>
      </c>
      <c r="F78" s="4" t="n">
        <v>221000000</v>
      </c>
    </row>
    <row r="79" customFormat="false" ht="15" hidden="false" customHeight="false" outlineLevel="0" collapsed="false">
      <c r="A79" s="9" t="n">
        <v>45931</v>
      </c>
      <c r="B79" s="10" t="s">
        <v>16</v>
      </c>
      <c r="C79" s="10" t="s">
        <v>36</v>
      </c>
      <c r="D79" s="4"/>
      <c r="E79" s="4" t="n">
        <v>92600000</v>
      </c>
      <c r="F79" s="4" t="n">
        <v>97000000</v>
      </c>
    </row>
    <row r="80" customFormat="false" ht="15" hidden="false" customHeight="false" outlineLevel="0" collapsed="false">
      <c r="A80" s="9" t="n">
        <v>45931</v>
      </c>
      <c r="B80" s="10" t="s">
        <v>17</v>
      </c>
      <c r="C80" s="10" t="s">
        <v>36</v>
      </c>
      <c r="D80" s="4"/>
      <c r="E80" s="4" t="n">
        <v>73300000</v>
      </c>
      <c r="F80" s="4" t="n">
        <v>76000000</v>
      </c>
    </row>
    <row r="81" customFormat="false" ht="15" hidden="false" customHeight="false" outlineLevel="0" collapsed="false">
      <c r="A81" s="9" t="n">
        <v>45931</v>
      </c>
      <c r="B81" s="10" t="s">
        <v>18</v>
      </c>
      <c r="C81" s="10" t="s">
        <v>36</v>
      </c>
      <c r="D81" s="4"/>
      <c r="E81" s="4" t="n">
        <v>35300000</v>
      </c>
      <c r="F81" s="4" t="n">
        <v>36000000</v>
      </c>
    </row>
    <row r="82" customFormat="false" ht="15" hidden="false" customHeight="false" outlineLevel="0" collapsed="false">
      <c r="A82" s="9" t="n">
        <v>45962</v>
      </c>
      <c r="B82" s="10" t="s">
        <v>9</v>
      </c>
      <c r="C82" s="10" t="s">
        <v>35</v>
      </c>
      <c r="D82" s="4" t="n">
        <v>622900000</v>
      </c>
      <c r="E82" s="4"/>
      <c r="F82" s="4"/>
    </row>
    <row r="83" customFormat="false" ht="15" hidden="false" customHeight="false" outlineLevel="0" collapsed="false">
      <c r="A83" s="9" t="n">
        <v>45962</v>
      </c>
      <c r="B83" s="10" t="s">
        <v>10</v>
      </c>
      <c r="C83" s="10" t="s">
        <v>35</v>
      </c>
      <c r="D83" s="4" t="n">
        <v>472900000</v>
      </c>
      <c r="E83" s="4"/>
      <c r="F83" s="4"/>
    </row>
    <row r="84" customFormat="false" ht="15" hidden="false" customHeight="false" outlineLevel="0" collapsed="false">
      <c r="A84" s="9" t="n">
        <v>45962</v>
      </c>
      <c r="B84" s="10" t="s">
        <v>11</v>
      </c>
      <c r="C84" s="10" t="s">
        <v>35</v>
      </c>
      <c r="D84" s="4" t="n">
        <v>143300000</v>
      </c>
      <c r="E84" s="4"/>
      <c r="F84" s="4"/>
    </row>
    <row r="85" customFormat="false" ht="15" hidden="false" customHeight="false" outlineLevel="0" collapsed="false">
      <c r="A85" s="9" t="n">
        <v>45962</v>
      </c>
      <c r="B85" s="10" t="s">
        <v>14</v>
      </c>
      <c r="C85" s="10" t="s">
        <v>36</v>
      </c>
      <c r="D85" s="4"/>
      <c r="E85" s="4" t="n">
        <v>353700000</v>
      </c>
      <c r="F85" s="4" t="n">
        <v>395000000</v>
      </c>
    </row>
    <row r="86" customFormat="false" ht="15" hidden="false" customHeight="false" outlineLevel="0" collapsed="false">
      <c r="A86" s="9" t="n">
        <v>45962</v>
      </c>
      <c r="B86" s="10" t="s">
        <v>15</v>
      </c>
      <c r="C86" s="10" t="s">
        <v>36</v>
      </c>
      <c r="D86" s="4"/>
      <c r="E86" s="4" t="n">
        <v>215400000</v>
      </c>
      <c r="F86" s="4" t="n">
        <v>223000000</v>
      </c>
    </row>
    <row r="87" customFormat="false" ht="15" hidden="false" customHeight="false" outlineLevel="0" collapsed="false">
      <c r="A87" s="9" t="n">
        <v>45962</v>
      </c>
      <c r="B87" s="10" t="s">
        <v>16</v>
      </c>
      <c r="C87" s="10" t="s">
        <v>36</v>
      </c>
      <c r="D87" s="4"/>
      <c r="E87" s="4" t="n">
        <v>93400000</v>
      </c>
      <c r="F87" s="4" t="n">
        <v>97000000</v>
      </c>
    </row>
    <row r="88" customFormat="false" ht="15" hidden="false" customHeight="false" outlineLevel="0" collapsed="false">
      <c r="A88" s="9" t="n">
        <v>45962</v>
      </c>
      <c r="B88" s="10" t="s">
        <v>17</v>
      </c>
      <c r="C88" s="10" t="s">
        <v>36</v>
      </c>
      <c r="D88" s="4"/>
      <c r="E88" s="4" t="n">
        <v>119100000</v>
      </c>
      <c r="F88" s="4" t="n">
        <v>77000000</v>
      </c>
    </row>
    <row r="89" customFormat="false" ht="15" hidden="false" customHeight="false" outlineLevel="0" collapsed="false">
      <c r="A89" s="9" t="n">
        <v>45962</v>
      </c>
      <c r="B89" s="10" t="s">
        <v>18</v>
      </c>
      <c r="C89" s="10" t="s">
        <v>36</v>
      </c>
      <c r="D89" s="4"/>
      <c r="E89" s="4" t="n">
        <v>32300000</v>
      </c>
      <c r="F89" s="4" t="n">
        <v>36000000</v>
      </c>
    </row>
    <row r="90" customFormat="false" ht="15" hidden="false" customHeight="false" outlineLevel="0" collapsed="false">
      <c r="A90" s="9" t="n">
        <v>45992</v>
      </c>
      <c r="B90" s="10" t="s">
        <v>9</v>
      </c>
      <c r="C90" s="10" t="s">
        <v>35</v>
      </c>
      <c r="D90" s="4" t="n">
        <v>686600000</v>
      </c>
      <c r="E90" s="4"/>
      <c r="F90" s="4"/>
    </row>
    <row r="91" customFormat="false" ht="15" hidden="false" customHeight="false" outlineLevel="0" collapsed="false">
      <c r="A91" s="9" t="n">
        <v>45992</v>
      </c>
      <c r="B91" s="10" t="s">
        <v>10</v>
      </c>
      <c r="C91" s="10" t="s">
        <v>35</v>
      </c>
      <c r="D91" s="4" t="n">
        <v>497300000</v>
      </c>
      <c r="E91" s="4"/>
      <c r="F91" s="4"/>
    </row>
    <row r="92" customFormat="false" ht="15" hidden="false" customHeight="false" outlineLevel="0" collapsed="false">
      <c r="A92" s="9" t="n">
        <v>45992</v>
      </c>
      <c r="B92" s="10" t="s">
        <v>11</v>
      </c>
      <c r="C92" s="10" t="s">
        <v>35</v>
      </c>
      <c r="D92" s="4" t="n">
        <v>148500000</v>
      </c>
      <c r="E92" s="4"/>
      <c r="F92" s="4"/>
    </row>
    <row r="93" customFormat="false" ht="15" hidden="false" customHeight="false" outlineLevel="0" collapsed="false">
      <c r="A93" s="9" t="n">
        <v>45992</v>
      </c>
      <c r="B93" s="10" t="s">
        <v>14</v>
      </c>
      <c r="C93" s="10" t="s">
        <v>36</v>
      </c>
      <c r="D93" s="4"/>
      <c r="E93" s="4" t="n">
        <v>406100000</v>
      </c>
      <c r="F93" s="4" t="n">
        <v>397000000</v>
      </c>
    </row>
    <row r="94" customFormat="false" ht="15" hidden="false" customHeight="false" outlineLevel="0" collapsed="false">
      <c r="A94" s="9" t="n">
        <v>45992</v>
      </c>
      <c r="B94" s="10" t="s">
        <v>15</v>
      </c>
      <c r="C94" s="10" t="s">
        <v>36</v>
      </c>
      <c r="D94" s="4"/>
      <c r="E94" s="4" t="n">
        <v>217600000</v>
      </c>
      <c r="F94" s="4" t="n">
        <v>224000000</v>
      </c>
    </row>
    <row r="95" customFormat="false" ht="15" hidden="false" customHeight="false" outlineLevel="0" collapsed="false">
      <c r="A95" s="9" t="n">
        <v>45992</v>
      </c>
      <c r="B95" s="10" t="s">
        <v>16</v>
      </c>
      <c r="C95" s="10" t="s">
        <v>36</v>
      </c>
      <c r="D95" s="4"/>
      <c r="E95" s="4" t="n">
        <v>97100000</v>
      </c>
      <c r="F95" s="4" t="n">
        <v>97000000</v>
      </c>
    </row>
    <row r="96" customFormat="false" ht="15" hidden="false" customHeight="false" outlineLevel="0" collapsed="false">
      <c r="A96" s="9" t="n">
        <v>45992</v>
      </c>
      <c r="B96" s="10" t="s">
        <v>17</v>
      </c>
      <c r="C96" s="10" t="s">
        <v>36</v>
      </c>
      <c r="D96" s="4"/>
      <c r="E96" s="4" t="n">
        <v>72600000</v>
      </c>
      <c r="F96" s="4" t="n">
        <v>78000000</v>
      </c>
    </row>
    <row r="97" customFormat="false" ht="15" hidden="false" customHeight="false" outlineLevel="0" collapsed="false">
      <c r="A97" s="9" t="n">
        <v>45992</v>
      </c>
      <c r="B97" s="10" t="s">
        <v>18</v>
      </c>
      <c r="C97" s="10" t="s">
        <v>36</v>
      </c>
      <c r="D97" s="4"/>
      <c r="E97" s="4" t="n">
        <v>35600000</v>
      </c>
      <c r="F97" s="4" t="n">
        <v>36000000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2026-10-11T04:35:23Z</dcterms:created>
  <dc:creator>openpyxl</dc:creator>
  <dc:description/>
  <dc:language>en-US</dc:language>
  <cp:lastModifiedBy/>
  <dcterms:modified xsi:type="dcterms:W3CDTF">2026-10-11T04:35:40Z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