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6797120-8E39-4000-8C4F-F69D5D87B967}" xr6:coauthVersionLast="47" xr6:coauthVersionMax="47" xr10:uidLastSave="{00000000-0000-0000-0000-000000000000}"/>
  <bookViews>
    <workbookView xWindow="-108" yWindow="-108" windowWidth="23256" windowHeight="13176" xr2:uid="{52691B00-9E3E-485E-B456-857D8331DC28}"/>
  </bookViews>
  <sheets>
    <sheet name="Clashbook" sheetId="3" r:id="rId1"/>
    <sheet name="Monthly" sheetId="5" r:id="rId2"/>
    <sheet name="Tax" sheetId="6" r:id="rId3"/>
    <sheet name="VAT Report" sheetId="7" r:id="rId4"/>
    <sheet name="Category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5" l="1"/>
  <c r="J10" i="7"/>
  <c r="J9" i="7"/>
  <c r="J8" i="7"/>
  <c r="J7" i="7"/>
  <c r="J6" i="7"/>
  <c r="J5" i="7"/>
  <c r="F6" i="7"/>
  <c r="G6" i="7" s="1"/>
  <c r="F7" i="7"/>
  <c r="G7" i="7" s="1"/>
  <c r="F8" i="7"/>
  <c r="G8" i="7" s="1"/>
  <c r="F9" i="7"/>
  <c r="G9" i="7" s="1"/>
  <c r="F10" i="7"/>
  <c r="G10" i="7" s="1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5" i="7"/>
  <c r="G5" i="7" s="1"/>
  <c r="B23" i="6"/>
  <c r="B21" i="6"/>
  <c r="B22" i="6" s="1"/>
  <c r="B24" i="6" s="1"/>
  <c r="B15" i="6"/>
  <c r="B16" i="6" s="1"/>
  <c r="B10" i="6"/>
  <c r="B11" i="6" s="1"/>
  <c r="B6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9" i="3"/>
  <c r="E6" i="5"/>
  <c r="E5" i="5"/>
  <c r="E4" i="5"/>
  <c r="B5" i="5"/>
  <c r="G10" i="3"/>
  <c r="E5" i="3"/>
  <c r="G11" i="3"/>
  <c r="J6" i="3"/>
  <c r="J5" i="3"/>
  <c r="G6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9" i="3"/>
  <c r="E4" i="3"/>
  <c r="B6" i="5" l="1"/>
  <c r="B7" i="5" s="1"/>
  <c r="E7" i="5"/>
  <c r="A10" i="5"/>
  <c r="E6" i="3"/>
  <c r="G4" i="3" s="1"/>
  <c r="G5" i="3" s="1"/>
  <c r="J7" i="3"/>
  <c r="B10" i="5" l="1"/>
  <c r="E10" i="5"/>
  <c r="A11" i="5"/>
  <c r="C10" i="5"/>
  <c r="B11" i="5" l="1"/>
  <c r="A12" i="5"/>
  <c r="E11" i="5"/>
  <c r="C11" i="5"/>
  <c r="D11" i="5" l="1"/>
  <c r="C12" i="5"/>
  <c r="A13" i="5"/>
  <c r="E12" i="5"/>
  <c r="B12" i="5"/>
  <c r="D12" i="5" l="1"/>
  <c r="C13" i="5"/>
  <c r="E13" i="5"/>
  <c r="B13" i="5"/>
  <c r="A14" i="5"/>
  <c r="D13" i="5" l="1"/>
  <c r="C14" i="5"/>
  <c r="B14" i="5"/>
  <c r="E14" i="5"/>
  <c r="A15" i="5"/>
  <c r="D14" i="5" l="1"/>
  <c r="C15" i="5"/>
  <c r="B15" i="5"/>
  <c r="E15" i="5"/>
  <c r="A16" i="5"/>
  <c r="D15" i="5" l="1"/>
  <c r="E16" i="5"/>
  <c r="B16" i="5"/>
  <c r="C16" i="5"/>
  <c r="A17" i="5"/>
  <c r="D16" i="5" l="1"/>
  <c r="E17" i="5"/>
  <c r="C17" i="5"/>
  <c r="B17" i="5"/>
  <c r="A18" i="5"/>
  <c r="D17" i="5" l="1"/>
  <c r="E18" i="5"/>
  <c r="C18" i="5"/>
  <c r="B18" i="5"/>
  <c r="A19" i="5"/>
  <c r="D18" i="5" l="1"/>
  <c r="C19" i="5"/>
  <c r="E19" i="5"/>
  <c r="B19" i="5"/>
  <c r="A20" i="5"/>
  <c r="D19" i="5" l="1"/>
  <c r="C20" i="5"/>
  <c r="B20" i="5"/>
  <c r="E20" i="5"/>
  <c r="A21" i="5"/>
  <c r="D20" i="5" l="1"/>
  <c r="E21" i="5"/>
  <c r="B21" i="5"/>
  <c r="C21" i="5"/>
  <c r="A22" i="5"/>
  <c r="D21" i="5" l="1"/>
  <c r="C22" i="5"/>
  <c r="E22" i="5"/>
  <c r="B22" i="5"/>
  <c r="A23" i="5"/>
  <c r="D22" i="5" l="1"/>
  <c r="B23" i="5"/>
  <c r="C23" i="5"/>
  <c r="E23" i="5"/>
  <c r="A24" i="5"/>
  <c r="D23" i="5" l="1"/>
  <c r="C24" i="5"/>
  <c r="E24" i="5"/>
  <c r="B24" i="5"/>
  <c r="A25" i="5"/>
  <c r="D24" i="5" l="1"/>
  <c r="C25" i="5"/>
  <c r="E25" i="5"/>
  <c r="B25" i="5"/>
  <c r="A26" i="5"/>
  <c r="D25" i="5" l="1"/>
  <c r="E26" i="5"/>
  <c r="C26" i="5"/>
  <c r="B26" i="5"/>
  <c r="A27" i="5"/>
  <c r="D26" i="5" l="1"/>
  <c r="E27" i="5"/>
  <c r="B27" i="5"/>
  <c r="C27" i="5"/>
  <c r="A28" i="5"/>
  <c r="D27" i="5" l="1"/>
  <c r="C28" i="5"/>
  <c r="E28" i="5"/>
  <c r="B28" i="5"/>
  <c r="A29" i="5"/>
  <c r="D28" i="5" l="1"/>
  <c r="B29" i="5"/>
  <c r="C29" i="5"/>
  <c r="E29" i="5"/>
  <c r="A30" i="5"/>
  <c r="D29" i="5" l="1"/>
  <c r="E30" i="5"/>
  <c r="C30" i="5"/>
  <c r="B30" i="5"/>
  <c r="A31" i="5"/>
  <c r="D30" i="5" l="1"/>
  <c r="E31" i="5"/>
  <c r="C31" i="5"/>
  <c r="B31" i="5"/>
  <c r="A32" i="5"/>
  <c r="D31" i="5" l="1"/>
  <c r="E32" i="5"/>
  <c r="B32" i="5"/>
  <c r="C32" i="5"/>
  <c r="A33" i="5"/>
  <c r="D32" i="5" l="1"/>
  <c r="E33" i="5"/>
  <c r="C33" i="5"/>
  <c r="B33" i="5"/>
  <c r="A34" i="5"/>
  <c r="D33" i="5" l="1"/>
  <c r="C34" i="5"/>
  <c r="B34" i="5"/>
  <c r="E34" i="5"/>
  <c r="A35" i="5"/>
  <c r="D34" i="5" l="1"/>
  <c r="C35" i="5"/>
  <c r="E35" i="5"/>
  <c r="B35" i="5"/>
  <c r="A36" i="5"/>
  <c r="D35" i="5" l="1"/>
  <c r="E36" i="5"/>
  <c r="C36" i="5"/>
  <c r="B36" i="5"/>
  <c r="A37" i="5"/>
  <c r="D36" i="5" l="1"/>
  <c r="E37" i="5"/>
  <c r="C37" i="5"/>
  <c r="B37" i="5"/>
  <c r="A38" i="5"/>
  <c r="D37" i="5" l="1"/>
  <c r="C38" i="5"/>
  <c r="E38" i="5"/>
  <c r="B38" i="5"/>
  <c r="A39" i="5"/>
  <c r="D38" i="5" l="1"/>
  <c r="E39" i="5"/>
  <c r="A40" i="5"/>
  <c r="C39" i="5"/>
  <c r="B39" i="5"/>
  <c r="D39" i="5" l="1"/>
  <c r="E40" i="5"/>
  <c r="B40" i="5"/>
  <c r="C40" i="5"/>
  <c r="C41" i="5" s="1"/>
  <c r="E41" i="5" l="1"/>
  <c r="B43" i="5"/>
  <c r="B45" i="5"/>
  <c r="B44" i="5"/>
  <c r="B41" i="5"/>
  <c r="D40" i="5"/>
  <c r="D41" i="5" s="1"/>
</calcChain>
</file>

<file path=xl/sharedStrings.xml><?xml version="1.0" encoding="utf-8"?>
<sst xmlns="http://schemas.openxmlformats.org/spreadsheetml/2006/main" count="206" uniqueCount="94">
  <si>
    <t>Date</t>
  </si>
  <si>
    <t>List</t>
  </si>
  <si>
    <t>Income</t>
  </si>
  <si>
    <t>Expenses</t>
  </si>
  <si>
    <t>Money</t>
  </si>
  <si>
    <t>Category</t>
  </si>
  <si>
    <t>Sales</t>
  </si>
  <si>
    <t>Other Income</t>
  </si>
  <si>
    <t>Raw Material</t>
  </si>
  <si>
    <t>Wages</t>
  </si>
  <si>
    <t>Supplies</t>
  </si>
  <si>
    <t>Utilities</t>
  </si>
  <si>
    <t>Rent</t>
  </si>
  <si>
    <t>Total Income</t>
  </si>
  <si>
    <t>Total Expenses</t>
  </si>
  <si>
    <t>Closing Balance</t>
  </si>
  <si>
    <t>check</t>
  </si>
  <si>
    <t>No. of item</t>
  </si>
  <si>
    <t>Balance</t>
  </si>
  <si>
    <t>Cashbook - Daily Income &amp; Expanses</t>
  </si>
  <si>
    <t>Daily revenue report</t>
  </si>
  <si>
    <t>Select Date</t>
  </si>
  <si>
    <t>day's income</t>
  </si>
  <si>
    <t>day's expenses</t>
  </si>
  <si>
    <t>Net amount</t>
  </si>
  <si>
    <t>Weekly allowance</t>
  </si>
  <si>
    <t>Snack</t>
  </si>
  <si>
    <t>Meals</t>
  </si>
  <si>
    <t>Coffee</t>
  </si>
  <si>
    <t>Water</t>
  </si>
  <si>
    <t>BBQ</t>
  </si>
  <si>
    <t>Document Copy</t>
  </si>
  <si>
    <t>Party</t>
  </si>
  <si>
    <t>Day</t>
  </si>
  <si>
    <t>Movie ticket</t>
  </si>
  <si>
    <t>ປີ (ຄ.ສ.)</t>
  </si>
  <si>
    <t>ເດືອນ (1-12)</t>
  </si>
  <si>
    <t>ມື້ແລກຂອງເດືອນ</t>
  </si>
  <si>
    <t>ມື້ສຸດທ້າຍຂອງເດືອນ</t>
  </si>
  <si>
    <t>ຈຳນວນມື້</t>
  </si>
  <si>
    <t>ເລືອກວັນທີ່</t>
  </si>
  <si>
    <t>ລາຍຮັບມື້ນັ້ນ</t>
  </si>
  <si>
    <t>ລາຍຈ່າຍມື້ນັ້ນ</t>
  </si>
  <si>
    <t>ຈຳນວນລາຍການມື້ນັ້ນ</t>
  </si>
  <si>
    <t>ຈ່າຍສະສົມຕົ້ນເດືອນຮອດມື້ນັ້ນ</t>
  </si>
  <si>
    <t>ລວມທັງເດືອນ</t>
  </si>
  <si>
    <t>ວັນທີ່ມີລາຍການ</t>
  </si>
  <si>
    <t>ລາຍຈ່າຍສະເລ່ຍຕໍ່ມື້</t>
  </si>
  <si>
    <t>Check (ຕ້ອງ = 0)</t>
  </si>
  <si>
    <t>ວັນທີ່</t>
  </si>
  <si>
    <t>ລາຍຮັບ</t>
  </si>
  <si>
    <t>ລາຍຈ່າຍ</t>
  </si>
  <si>
    <t>ສຸດທິ</t>
  </si>
  <si>
    <t>ຈຳນວນລາຍການ</t>
  </si>
  <si>
    <t>Youtube premium</t>
  </si>
  <si>
    <t>Netflix</t>
  </si>
  <si>
    <t>New  shirt</t>
  </si>
  <si>
    <t>Soda drink</t>
  </si>
  <si>
    <t>ອັດຕາ Vat</t>
  </si>
  <si>
    <t>ອັດຕາຫັກຂະນະທີ່ຈ່າຍ</t>
  </si>
  <si>
    <t>Vat</t>
  </si>
  <si>
    <t>ຍອດລວມທີ່ລູກຄ້າຈ່າຍ</t>
  </si>
  <si>
    <t>ລາຄາປ້າຍ (ລວມ Vat ແລ້ວ)</t>
  </si>
  <si>
    <t>ລາຄາກ່ອນ Vat</t>
  </si>
  <si>
    <t>VAT</t>
  </si>
  <si>
    <t>ລາຄາສິນຄ້າ (ກ່ອນ Vat)</t>
  </si>
  <si>
    <t>ຄ່າບໍລິການ (ກ່ອນ Vat)</t>
  </si>
  <si>
    <t>ບວກ Vat</t>
  </si>
  <si>
    <t>ຍອດຕາມໃບກຳກັບພາສີ</t>
  </si>
  <si>
    <t>ຫັກຂະນະທີ່ຈ່າຍ</t>
  </si>
  <si>
    <t>ຍອດໂອນຈ່າຍຈິງ</t>
  </si>
  <si>
    <t>Doc No.</t>
  </si>
  <si>
    <t>Type</t>
  </si>
  <si>
    <t>Total</t>
  </si>
  <si>
    <t>Amount (ກ່ອນ VAT)</t>
  </si>
  <si>
    <t>INV-001</t>
  </si>
  <si>
    <t xml:space="preserve"> ຂາຍສິນຄ້າໃຫ້ຮ້ານ A </t>
  </si>
  <si>
    <t>PO-001</t>
  </si>
  <si>
    <t>Purchase</t>
  </si>
  <si>
    <t>INV-002</t>
  </si>
  <si>
    <t>PO-002</t>
  </si>
  <si>
    <t>INV-003</t>
  </si>
  <si>
    <t>PO-003</t>
  </si>
  <si>
    <t xml:space="preserve"> ຂາຍສິນຄ້າໃຫ້ຮ້ານ B </t>
  </si>
  <si>
    <t>ຊື້ວັດຖຸດິບ</t>
  </si>
  <si>
    <t>ຊື້ສິນຄ້າເຂົ້າຮ້ານ</t>
  </si>
  <si>
    <t xml:space="preserve">	Purchase</t>
  </si>
  <si>
    <t>ຄ່າແປງອຸປະກອນ</t>
  </si>
  <si>
    <t>ຍອດຂາຍ</t>
  </si>
  <si>
    <t>ພາສີຂາຍ</t>
  </si>
  <si>
    <t>ຍອດຊື້</t>
  </si>
  <si>
    <t>ພາສີຊື້</t>
  </si>
  <si>
    <t>ພາສີທີ່ຕ້ອງຊຳລະ</t>
  </si>
  <si>
    <t>ສະຖານະ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</si>
</sst>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₭-454]* #,##0.00_ ;_ [$₭-454]* \-#,##0.00_ ;_ [$₭-454]* &quot;-&quot;??_ ;_ @_ "/>
    <numFmt numFmtId="165" formatCode="#,##0.00;[Red]\(#,##0.00\);&quot;-&quot;"/>
    <numFmt numFmtId="166" formatCode="[$₭-454]#,##0.00;[Red][$₭-454]\-#,##0.00"/>
    <numFmt numFmtId="171" formatCode="#,##0.00\ &quot;₭&quot;"/>
    <numFmt numFmtId="172" formatCode="#,##0.00\ &quot;₭&quot;;[Red]\(#,##0.00\ &quot;₭&quot;\);&quot;-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8"/>
      <name val="Calibri"/>
      <family val="2"/>
      <scheme val="minor"/>
    </font>
    <font>
      <sz val="11"/>
      <color theme="1"/>
      <name val="Saysettha OT"/>
      <family val="2"/>
    </font>
    <font>
      <sz val="11"/>
      <color theme="0"/>
      <name val="Saysettha OT"/>
      <family val="2"/>
    </font>
    <font>
      <sz val="11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164" fontId="2" fillId="2" borderId="0" xfId="0" applyNumberFormat="1" applyFont="1" applyFill="1"/>
    <xf numFmtId="165" fontId="1" fillId="0" borderId="0" xfId="0" applyNumberFormat="1" applyFont="1"/>
    <xf numFmtId="37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4" fillId="0" borderId="0" xfId="0" applyFont="1"/>
    <xf numFmtId="0" fontId="1" fillId="4" borderId="0" xfId="0" applyFont="1" applyFill="1"/>
    <xf numFmtId="14" fontId="1" fillId="4" borderId="0" xfId="0" applyNumberFormat="1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165" fontId="6" fillId="5" borderId="0" xfId="0" applyNumberFormat="1" applyFont="1" applyFill="1"/>
    <xf numFmtId="165" fontId="6" fillId="6" borderId="0" xfId="0" applyNumberFormat="1" applyFont="1" applyFill="1"/>
    <xf numFmtId="9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0" fontId="5" fillId="8" borderId="0" xfId="0" applyFont="1" applyFill="1"/>
    <xf numFmtId="0" fontId="4" fillId="0" borderId="1" xfId="0" applyFont="1" applyBorder="1"/>
    <xf numFmtId="0" fontId="4" fillId="0" borderId="0" xfId="0" applyFont="1" applyBorder="1"/>
    <xf numFmtId="171" fontId="4" fillId="4" borderId="0" xfId="0" applyNumberFormat="1" applyFont="1" applyFill="1"/>
    <xf numFmtId="171" fontId="4" fillId="0" borderId="0" xfId="0" applyNumberFormat="1" applyFont="1"/>
    <xf numFmtId="171" fontId="4" fillId="7" borderId="0" xfId="0" applyNumberFormat="1" applyFont="1" applyFill="1"/>
    <xf numFmtId="171" fontId="4" fillId="0" borderId="1" xfId="0" applyNumberFormat="1" applyFont="1" applyBorder="1"/>
    <xf numFmtId="171" fontId="4" fillId="0" borderId="2" xfId="0" applyNumberFormat="1" applyFont="1" applyBorder="1"/>
    <xf numFmtId="172" fontId="0" fillId="0" borderId="0" xfId="0" applyNumberFormat="1"/>
    <xf numFmtId="172" fontId="1" fillId="0" borderId="0" xfId="0" applyNumberFormat="1" applyFont="1"/>
    <xf numFmtId="172" fontId="1" fillId="3" borderId="0" xfId="0" applyNumberFormat="1" applyFont="1" applyFill="1"/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7F18-85FC-4594-8FE1-A2AB751BAD14}">
  <dimension ref="A1:J508"/>
  <sheetViews>
    <sheetView tabSelected="1" workbookViewId="0">
      <pane ySplit="8" topLeftCell="A99" activePane="bottomLeft" state="frozen"/>
      <selection pane="bottomLeft" activeCell="I21" sqref="I21"/>
    </sheetView>
  </sheetViews>
  <sheetFormatPr defaultRowHeight="13.8" x14ac:dyDescent="0.25"/>
  <cols>
    <col min="1" max="1" width="33.33203125" style="7" bestFit="1" customWidth="1"/>
    <col min="2" max="2" width="13.77734375" style="2" bestFit="1" customWidth="1"/>
    <col min="3" max="3" width="16.77734375" style="2" bestFit="1" customWidth="1"/>
    <col min="4" max="4" width="12.88671875" style="2" bestFit="1" customWidth="1"/>
    <col min="5" max="5" width="13.88671875" style="2" bestFit="1" customWidth="1"/>
    <col min="6" max="6" width="12.109375" style="2" bestFit="1" customWidth="1"/>
    <col min="7" max="7" width="13.77734375" style="2" bestFit="1" customWidth="1"/>
    <col min="8" max="8" width="8.88671875" style="2"/>
    <col min="9" max="9" width="17.77734375" style="2" bestFit="1" customWidth="1"/>
    <col min="10" max="10" width="12.109375" style="2" bestFit="1" customWidth="1"/>
    <col min="11" max="16384" width="8.88671875" style="2"/>
  </cols>
  <sheetData>
    <row r="1" spans="1:10" x14ac:dyDescent="0.25">
      <c r="A1" s="7" t="s">
        <v>19</v>
      </c>
    </row>
    <row r="3" spans="1:10" x14ac:dyDescent="0.25">
      <c r="E3" s="4">
        <v>0</v>
      </c>
      <c r="I3" s="6" t="s">
        <v>20</v>
      </c>
    </row>
    <row r="4" spans="1:10" x14ac:dyDescent="0.25">
      <c r="C4" s="2" t="s">
        <v>13</v>
      </c>
      <c r="E4" s="31">
        <f>SUM(E9:E508)</f>
        <v>7000000</v>
      </c>
      <c r="F4" s="2" t="s">
        <v>16</v>
      </c>
      <c r="G4" s="4">
        <f>IF(COUNT(A9:A508)=0,0,ROUND(E6-INDEX(G9:G508,MATCH(9.99E+307,G9:G508)),2))</f>
        <v>0</v>
      </c>
      <c r="I4" s="2" t="s">
        <v>21</v>
      </c>
      <c r="J4" s="1">
        <v>46113</v>
      </c>
    </row>
    <row r="5" spans="1:10" x14ac:dyDescent="0.25">
      <c r="C5" s="2" t="s">
        <v>14</v>
      </c>
      <c r="E5" s="31">
        <f>SUM(F9:F508)</f>
        <v>5577000</v>
      </c>
      <c r="G5" s="2" t="str">
        <f>IF(G4=0,"✔ Check pass","✘ Check again")</f>
        <v>✔ Check pass</v>
      </c>
      <c r="I5" s="2" t="s">
        <v>22</v>
      </c>
      <c r="J5" s="31">
        <f>SUMIFS(E9:E508,A9:A508,J4)</f>
        <v>700000</v>
      </c>
    </row>
    <row r="6" spans="1:10" x14ac:dyDescent="0.25">
      <c r="C6" s="2" t="s">
        <v>15</v>
      </c>
      <c r="E6" s="31">
        <f>E3+E4-E5</f>
        <v>1423000</v>
      </c>
      <c r="F6" s="2" t="s">
        <v>17</v>
      </c>
      <c r="G6" s="5">
        <f>COUNT(A9:A508)</f>
        <v>105</v>
      </c>
      <c r="I6" s="2" t="s">
        <v>23</v>
      </c>
      <c r="J6" s="31">
        <f>SUMIFS(F9:F508,A9:A508,J4)</f>
        <v>130000</v>
      </c>
    </row>
    <row r="7" spans="1:10" x14ac:dyDescent="0.25">
      <c r="I7" s="2" t="s">
        <v>24</v>
      </c>
      <c r="J7" s="31">
        <f>J5-J6</f>
        <v>570000</v>
      </c>
    </row>
    <row r="8" spans="1:10" x14ac:dyDescent="0.25">
      <c r="A8" s="8" t="s">
        <v>0</v>
      </c>
      <c r="B8" s="3" t="s">
        <v>33</v>
      </c>
      <c r="C8" s="3" t="s">
        <v>1</v>
      </c>
      <c r="D8" s="3" t="s">
        <v>5</v>
      </c>
      <c r="E8" s="3" t="s">
        <v>2</v>
      </c>
      <c r="F8" s="3" t="s">
        <v>3</v>
      </c>
      <c r="G8" s="3" t="s">
        <v>18</v>
      </c>
    </row>
    <row r="9" spans="1:10" x14ac:dyDescent="0.25">
      <c r="A9" s="9">
        <v>46113</v>
      </c>
      <c r="B9" s="6" t="str">
        <f>IF(A9="","",TEXT(A9,"dddd"))</f>
        <v>Wednesday</v>
      </c>
      <c r="C9" s="6" t="s">
        <v>25</v>
      </c>
      <c r="D9" s="2" t="s">
        <v>4</v>
      </c>
      <c r="E9" s="31">
        <v>700000</v>
      </c>
      <c r="F9" s="31"/>
      <c r="G9" s="32">
        <f>IF(A9="","",$E$3+SUM($E$9:E9)-SUM($F$9:F9))</f>
        <v>700000</v>
      </c>
    </row>
    <row r="10" spans="1:10" x14ac:dyDescent="0.25">
      <c r="A10" s="9">
        <v>46113</v>
      </c>
      <c r="B10" s="6" t="str">
        <f t="shared" ref="B10:B73" si="0">IF(A10="","",TEXT(A10,"dddd"))</f>
        <v>Wednesday</v>
      </c>
      <c r="C10" s="2" t="s">
        <v>27</v>
      </c>
      <c r="E10" s="31"/>
      <c r="F10" s="31">
        <v>50000</v>
      </c>
      <c r="G10" s="32">
        <f>IF(A10="","",$E$3+SUM($E$9:E10)-SUM($F$9:F10))</f>
        <v>650000</v>
      </c>
    </row>
    <row r="11" spans="1:10" x14ac:dyDescent="0.25">
      <c r="A11" s="9">
        <v>46113</v>
      </c>
      <c r="B11" s="6" t="str">
        <f t="shared" si="0"/>
        <v>Wednesday</v>
      </c>
      <c r="C11" s="2" t="s">
        <v>28</v>
      </c>
      <c r="E11" s="31"/>
      <c r="F11" s="31">
        <v>30000</v>
      </c>
      <c r="G11" s="32">
        <f>IF(A11="","",$E$3+SUM($E$9:E11)-SUM($F$9:F11))</f>
        <v>620000</v>
      </c>
    </row>
    <row r="12" spans="1:10" x14ac:dyDescent="0.25">
      <c r="A12" s="9">
        <v>46113</v>
      </c>
      <c r="B12" s="6" t="str">
        <f t="shared" si="0"/>
        <v>Wednesday</v>
      </c>
      <c r="C12" s="2" t="s">
        <v>27</v>
      </c>
      <c r="E12" s="31"/>
      <c r="F12" s="31">
        <v>50000</v>
      </c>
      <c r="G12" s="32">
        <f>IF(A12="","",$E$3+SUM($E$9:E12)-SUM($F$9:F12))</f>
        <v>570000</v>
      </c>
    </row>
    <row r="13" spans="1:10" x14ac:dyDescent="0.25">
      <c r="A13" s="9">
        <v>46114</v>
      </c>
      <c r="B13" s="6" t="str">
        <f t="shared" si="0"/>
        <v>Thursday</v>
      </c>
      <c r="C13" s="2" t="s">
        <v>27</v>
      </c>
      <c r="E13" s="31"/>
      <c r="F13" s="31">
        <v>50000</v>
      </c>
      <c r="G13" s="32">
        <f>IF(A13="","",$E$3+SUM($E$9:E13)-SUM($F$9:F13))</f>
        <v>520000</v>
      </c>
    </row>
    <row r="14" spans="1:10" x14ac:dyDescent="0.25">
      <c r="A14" s="9">
        <v>46114</v>
      </c>
      <c r="B14" s="6" t="str">
        <f t="shared" si="0"/>
        <v>Thursday</v>
      </c>
      <c r="C14" s="2" t="s">
        <v>26</v>
      </c>
      <c r="E14" s="31"/>
      <c r="F14" s="31">
        <v>20000</v>
      </c>
      <c r="G14" s="32">
        <f>IF(A14="","",$E$3+SUM($E$9:E14)-SUM($F$9:F14))</f>
        <v>500000</v>
      </c>
    </row>
    <row r="15" spans="1:10" x14ac:dyDescent="0.25">
      <c r="A15" s="9">
        <v>46114</v>
      </c>
      <c r="B15" s="6" t="str">
        <f t="shared" si="0"/>
        <v>Thursday</v>
      </c>
      <c r="C15" s="2" t="s">
        <v>26</v>
      </c>
      <c r="E15" s="31"/>
      <c r="F15" s="31">
        <v>15000</v>
      </c>
      <c r="G15" s="32">
        <f>IF(A15="","",$E$3+SUM($E$9:E15)-SUM($F$9:F15))</f>
        <v>485000</v>
      </c>
    </row>
    <row r="16" spans="1:10" x14ac:dyDescent="0.25">
      <c r="A16" s="9">
        <v>46114</v>
      </c>
      <c r="B16" s="6" t="str">
        <f t="shared" si="0"/>
        <v>Thursday</v>
      </c>
      <c r="C16" s="2" t="s">
        <v>27</v>
      </c>
      <c r="E16" s="31"/>
      <c r="F16" s="31">
        <v>50000</v>
      </c>
      <c r="G16" s="32">
        <f>IF(A16="","",$E$3+SUM($E$9:E16)-SUM($F$9:F16))</f>
        <v>435000</v>
      </c>
    </row>
    <row r="17" spans="1:7" x14ac:dyDescent="0.25">
      <c r="A17" s="9">
        <v>46115</v>
      </c>
      <c r="B17" s="6" t="str">
        <f t="shared" si="0"/>
        <v>Friday</v>
      </c>
      <c r="C17" s="2" t="s">
        <v>29</v>
      </c>
      <c r="E17" s="31"/>
      <c r="F17" s="31">
        <v>10000</v>
      </c>
      <c r="G17" s="32">
        <f>IF(A17="","",$E$3+SUM($E$9:E17)-SUM($F$9:F17))</f>
        <v>425000</v>
      </c>
    </row>
    <row r="18" spans="1:7" x14ac:dyDescent="0.25">
      <c r="A18" s="9">
        <v>46115</v>
      </c>
      <c r="B18" s="6" t="str">
        <f t="shared" si="0"/>
        <v>Friday</v>
      </c>
      <c r="C18" s="2" t="s">
        <v>28</v>
      </c>
      <c r="E18" s="31"/>
      <c r="F18" s="31">
        <v>30000</v>
      </c>
      <c r="G18" s="32">
        <f>IF(A18="","",$E$3+SUM($E$9:E18)-SUM($F$9:F18))</f>
        <v>395000</v>
      </c>
    </row>
    <row r="19" spans="1:7" x14ac:dyDescent="0.25">
      <c r="A19" s="9">
        <v>46115</v>
      </c>
      <c r="B19" s="6" t="str">
        <f t="shared" si="0"/>
        <v>Friday</v>
      </c>
      <c r="C19" s="2" t="s">
        <v>27</v>
      </c>
      <c r="E19" s="31"/>
      <c r="F19" s="31">
        <v>50000</v>
      </c>
      <c r="G19" s="32">
        <f>IF(A19="","",$E$3+SUM($E$9:E19)-SUM($F$9:F19))</f>
        <v>345000</v>
      </c>
    </row>
    <row r="20" spans="1:7" x14ac:dyDescent="0.25">
      <c r="A20" s="9">
        <v>46116</v>
      </c>
      <c r="B20" s="6" t="str">
        <f t="shared" si="0"/>
        <v>Saturday</v>
      </c>
      <c r="C20" s="2" t="s">
        <v>27</v>
      </c>
      <c r="E20" s="31"/>
      <c r="F20" s="31">
        <v>50000</v>
      </c>
      <c r="G20" s="32">
        <f>IF(A20="","",$E$3+SUM($E$9:E20)-SUM($F$9:F20))</f>
        <v>295000</v>
      </c>
    </row>
    <row r="21" spans="1:7" x14ac:dyDescent="0.25">
      <c r="A21" s="9">
        <v>46116</v>
      </c>
      <c r="B21" s="6" t="str">
        <f t="shared" si="0"/>
        <v>Saturday</v>
      </c>
      <c r="C21" s="2" t="s">
        <v>27</v>
      </c>
      <c r="E21" s="31"/>
      <c r="F21" s="31">
        <v>50000</v>
      </c>
      <c r="G21" s="32">
        <f>IF(A21="","",$E$3+SUM($E$9:E21)-SUM($F$9:F21))</f>
        <v>245000</v>
      </c>
    </row>
    <row r="22" spans="1:7" x14ac:dyDescent="0.25">
      <c r="A22" s="9">
        <v>46117</v>
      </c>
      <c r="B22" s="6" t="str">
        <f t="shared" si="0"/>
        <v>Sunday</v>
      </c>
      <c r="C22" s="2" t="s">
        <v>27</v>
      </c>
      <c r="E22" s="31"/>
      <c r="F22" s="31">
        <v>50000</v>
      </c>
      <c r="G22" s="32">
        <f>IF(A22="","",$E$3+SUM($E$9:E22)-SUM($F$9:F22))</f>
        <v>195000</v>
      </c>
    </row>
    <row r="23" spans="1:7" x14ac:dyDescent="0.25">
      <c r="A23" s="9">
        <v>46117</v>
      </c>
      <c r="B23" s="6" t="str">
        <f t="shared" si="0"/>
        <v>Sunday</v>
      </c>
      <c r="C23" s="2" t="s">
        <v>28</v>
      </c>
      <c r="E23" s="31"/>
      <c r="F23" s="31">
        <v>30000</v>
      </c>
      <c r="G23" s="32">
        <f>IF(A23="","",$E$3+SUM($E$9:E23)-SUM($F$9:F23))</f>
        <v>165000</v>
      </c>
    </row>
    <row r="24" spans="1:7" x14ac:dyDescent="0.25">
      <c r="A24" s="9">
        <v>46118</v>
      </c>
      <c r="B24" s="6" t="str">
        <f t="shared" si="0"/>
        <v>Monday</v>
      </c>
      <c r="C24" s="2" t="s">
        <v>27</v>
      </c>
      <c r="E24" s="31"/>
      <c r="F24" s="31">
        <v>50000</v>
      </c>
      <c r="G24" s="32">
        <f>IF(A24="","",$E$3+SUM($E$9:E24)-SUM($F$9:F24))</f>
        <v>115000</v>
      </c>
    </row>
    <row r="25" spans="1:7" x14ac:dyDescent="0.25">
      <c r="A25" s="9">
        <v>46120</v>
      </c>
      <c r="B25" s="6" t="str">
        <f t="shared" si="0"/>
        <v>Wednesday</v>
      </c>
      <c r="C25" s="2" t="s">
        <v>25</v>
      </c>
      <c r="D25" s="2" t="s">
        <v>4</v>
      </c>
      <c r="E25" s="31">
        <v>700000</v>
      </c>
      <c r="F25" s="31"/>
      <c r="G25" s="32">
        <f>IF(A25="","",$E$3+SUM($E$9:E25)-SUM($F$9:F25))</f>
        <v>815000</v>
      </c>
    </row>
    <row r="26" spans="1:7" x14ac:dyDescent="0.25">
      <c r="A26" s="9">
        <v>46120</v>
      </c>
      <c r="B26" s="6" t="str">
        <f t="shared" si="0"/>
        <v>Wednesday</v>
      </c>
      <c r="C26" s="2" t="s">
        <v>27</v>
      </c>
      <c r="E26" s="31"/>
      <c r="F26" s="31">
        <v>50000</v>
      </c>
      <c r="G26" s="32">
        <f>IF(A26="","",$E$3+SUM($E$9:E26)-SUM($F$9:F26))</f>
        <v>765000</v>
      </c>
    </row>
    <row r="27" spans="1:7" x14ac:dyDescent="0.25">
      <c r="A27" s="9">
        <v>46121</v>
      </c>
      <c r="B27" s="6" t="str">
        <f t="shared" si="0"/>
        <v>Thursday</v>
      </c>
      <c r="C27" s="2" t="s">
        <v>28</v>
      </c>
      <c r="E27" s="31"/>
      <c r="F27" s="31">
        <v>30000</v>
      </c>
      <c r="G27" s="32">
        <f>IF(A27="","",$E$3+SUM($E$9:E27)-SUM($F$9:F27))</f>
        <v>735000</v>
      </c>
    </row>
    <row r="28" spans="1:7" x14ac:dyDescent="0.25">
      <c r="A28" s="9">
        <v>46121</v>
      </c>
      <c r="B28" s="6" t="str">
        <f t="shared" si="0"/>
        <v>Thursday</v>
      </c>
      <c r="C28" s="2" t="s">
        <v>27</v>
      </c>
      <c r="E28" s="31"/>
      <c r="F28" s="31">
        <v>50000</v>
      </c>
      <c r="G28" s="32">
        <f>IF(A28="","",$E$3+SUM($E$9:E28)-SUM($F$9:F28))</f>
        <v>685000</v>
      </c>
    </row>
    <row r="29" spans="1:7" x14ac:dyDescent="0.25">
      <c r="A29" s="9">
        <v>46122</v>
      </c>
      <c r="B29" s="6" t="str">
        <f t="shared" si="0"/>
        <v>Friday</v>
      </c>
      <c r="C29" s="2" t="s">
        <v>27</v>
      </c>
      <c r="E29" s="31"/>
      <c r="F29" s="31">
        <v>50000</v>
      </c>
      <c r="G29" s="32">
        <f>IF(A29="","",$E$3+SUM($E$9:E29)-SUM($F$9:F29))</f>
        <v>635000</v>
      </c>
    </row>
    <row r="30" spans="1:7" x14ac:dyDescent="0.25">
      <c r="A30" s="9">
        <v>46123</v>
      </c>
      <c r="B30" s="6" t="str">
        <f t="shared" si="0"/>
        <v>Saturday</v>
      </c>
      <c r="C30" s="2" t="s">
        <v>27</v>
      </c>
      <c r="E30" s="31"/>
      <c r="F30" s="31">
        <v>50000</v>
      </c>
      <c r="G30" s="32">
        <f>IF(A30="","",$E$3+SUM($E$9:E30)-SUM($F$9:F30))</f>
        <v>585000</v>
      </c>
    </row>
    <row r="31" spans="1:7" x14ac:dyDescent="0.25">
      <c r="A31" s="9">
        <v>46124</v>
      </c>
      <c r="B31" s="6" t="str">
        <f t="shared" si="0"/>
        <v>Sunday</v>
      </c>
      <c r="C31" s="2" t="s">
        <v>27</v>
      </c>
      <c r="E31" s="31"/>
      <c r="F31" s="31">
        <v>50000</v>
      </c>
      <c r="G31" s="32">
        <f>IF(A31="","",$E$3+SUM($E$9:E31)-SUM($F$9:F31))</f>
        <v>535000</v>
      </c>
    </row>
    <row r="32" spans="1:7" x14ac:dyDescent="0.25">
      <c r="A32" s="9">
        <v>46125</v>
      </c>
      <c r="B32" s="6" t="str">
        <f t="shared" si="0"/>
        <v>Monday</v>
      </c>
      <c r="C32" s="2" t="s">
        <v>30</v>
      </c>
      <c r="E32" s="31"/>
      <c r="F32" s="31">
        <v>150000</v>
      </c>
      <c r="G32" s="32">
        <f>IF(A32="","",$E$3+SUM($E$9:E32)-SUM($F$9:F32))</f>
        <v>385000</v>
      </c>
    </row>
    <row r="33" spans="1:7" x14ac:dyDescent="0.25">
      <c r="A33" s="9">
        <v>46126</v>
      </c>
      <c r="B33" s="6" t="str">
        <f t="shared" si="0"/>
        <v>Tuesday</v>
      </c>
      <c r="C33" s="2" t="s">
        <v>28</v>
      </c>
      <c r="E33" s="31"/>
      <c r="F33" s="31">
        <v>50000</v>
      </c>
      <c r="G33" s="32">
        <f>IF(A33="","",$E$3+SUM($E$9:E33)-SUM($F$9:F33))</f>
        <v>335000</v>
      </c>
    </row>
    <row r="34" spans="1:7" x14ac:dyDescent="0.25">
      <c r="A34" s="9">
        <v>46127</v>
      </c>
      <c r="B34" s="6" t="str">
        <f t="shared" si="0"/>
        <v>Wednesday</v>
      </c>
      <c r="C34" s="2" t="s">
        <v>25</v>
      </c>
      <c r="D34" s="2" t="s">
        <v>4</v>
      </c>
      <c r="E34" s="31">
        <v>700000</v>
      </c>
      <c r="F34" s="31"/>
      <c r="G34" s="32">
        <f>IF(A34="","",$E$3+SUM($E$9:E34)-SUM($F$9:F34))</f>
        <v>1035000</v>
      </c>
    </row>
    <row r="35" spans="1:7" x14ac:dyDescent="0.25">
      <c r="A35" s="9">
        <v>46127</v>
      </c>
      <c r="B35" s="6" t="str">
        <f t="shared" si="0"/>
        <v>Wednesday</v>
      </c>
      <c r="C35" s="2" t="s">
        <v>27</v>
      </c>
      <c r="E35" s="31"/>
      <c r="F35" s="31">
        <v>50000</v>
      </c>
      <c r="G35" s="32">
        <f>IF(A35="","",$E$3+SUM($E$9:E35)-SUM($F$9:F35))</f>
        <v>985000</v>
      </c>
    </row>
    <row r="36" spans="1:7" x14ac:dyDescent="0.25">
      <c r="A36" s="9">
        <v>46127</v>
      </c>
      <c r="B36" s="6" t="str">
        <f t="shared" si="0"/>
        <v>Wednesday</v>
      </c>
      <c r="C36" s="2" t="s">
        <v>27</v>
      </c>
      <c r="E36" s="31"/>
      <c r="F36" s="31">
        <v>50000</v>
      </c>
      <c r="G36" s="32">
        <f>IF(A36="","",$E$3+SUM($E$9:E36)-SUM($F$9:F36))</f>
        <v>935000</v>
      </c>
    </row>
    <row r="37" spans="1:7" x14ac:dyDescent="0.25">
      <c r="A37" s="9">
        <v>46128</v>
      </c>
      <c r="B37" s="6" t="str">
        <f t="shared" si="0"/>
        <v>Thursday</v>
      </c>
      <c r="C37" s="2" t="s">
        <v>28</v>
      </c>
      <c r="E37" s="31"/>
      <c r="F37" s="31">
        <v>30000</v>
      </c>
      <c r="G37" s="32">
        <f>IF(A37="","",$E$3+SUM($E$9:E37)-SUM($F$9:F37))</f>
        <v>905000</v>
      </c>
    </row>
    <row r="38" spans="1:7" x14ac:dyDescent="0.25">
      <c r="A38" s="9">
        <v>46129</v>
      </c>
      <c r="B38" s="6" t="str">
        <f t="shared" si="0"/>
        <v>Friday</v>
      </c>
      <c r="C38" s="2" t="s">
        <v>27</v>
      </c>
      <c r="E38" s="31"/>
      <c r="F38" s="31">
        <v>50000</v>
      </c>
      <c r="G38" s="32">
        <f>IF(A38="","",$E$3+SUM($E$9:E38)-SUM($F$9:F38))</f>
        <v>855000</v>
      </c>
    </row>
    <row r="39" spans="1:7" x14ac:dyDescent="0.25">
      <c r="A39" s="9">
        <v>46130</v>
      </c>
      <c r="B39" s="6" t="str">
        <f t="shared" si="0"/>
        <v>Saturday</v>
      </c>
      <c r="C39" s="2" t="s">
        <v>27</v>
      </c>
      <c r="E39" s="31"/>
      <c r="F39" s="31">
        <v>50000</v>
      </c>
      <c r="G39" s="32">
        <f>IF(A39="","",$E$3+SUM($E$9:E39)-SUM($F$9:F39))</f>
        <v>805000</v>
      </c>
    </row>
    <row r="40" spans="1:7" x14ac:dyDescent="0.25">
      <c r="A40" s="9">
        <v>46133</v>
      </c>
      <c r="B40" s="6" t="str">
        <f t="shared" si="0"/>
        <v>Tuesday</v>
      </c>
      <c r="C40" s="2" t="s">
        <v>30</v>
      </c>
      <c r="E40" s="31"/>
      <c r="F40" s="31">
        <v>150000</v>
      </c>
      <c r="G40" s="32">
        <f>IF(A40="","",$E$3+SUM($E$9:E40)-SUM($F$9:F40))</f>
        <v>655000</v>
      </c>
    </row>
    <row r="41" spans="1:7" x14ac:dyDescent="0.25">
      <c r="A41" s="9">
        <v>46134</v>
      </c>
      <c r="B41" s="6" t="str">
        <f t="shared" si="0"/>
        <v>Wednesday</v>
      </c>
      <c r="C41" s="2" t="s">
        <v>25</v>
      </c>
      <c r="D41" s="2" t="s">
        <v>4</v>
      </c>
      <c r="E41" s="31">
        <v>700000</v>
      </c>
      <c r="F41" s="31"/>
      <c r="G41" s="32">
        <f>IF(A41="","",$E$3+SUM($E$9:E41)-SUM($F$9:F41))</f>
        <v>1355000</v>
      </c>
    </row>
    <row r="42" spans="1:7" x14ac:dyDescent="0.25">
      <c r="A42" s="9">
        <v>46134</v>
      </c>
      <c r="B42" s="6" t="str">
        <f t="shared" si="0"/>
        <v>Wednesday</v>
      </c>
      <c r="C42" s="2" t="s">
        <v>27</v>
      </c>
      <c r="E42" s="31"/>
      <c r="F42" s="31">
        <v>70000</v>
      </c>
      <c r="G42" s="32">
        <f>IF(A42="","",$E$3+SUM($E$9:E42)-SUM($F$9:F42))</f>
        <v>1285000</v>
      </c>
    </row>
    <row r="43" spans="1:7" x14ac:dyDescent="0.25">
      <c r="A43" s="9">
        <v>46134</v>
      </c>
      <c r="B43" s="6" t="str">
        <f t="shared" si="0"/>
        <v>Wednesday</v>
      </c>
      <c r="C43" s="2" t="s">
        <v>28</v>
      </c>
      <c r="E43" s="31"/>
      <c r="F43" s="31">
        <v>30000</v>
      </c>
      <c r="G43" s="32">
        <f>IF(A43="","",$E$3+SUM($E$9:E43)-SUM($F$9:F43))</f>
        <v>1255000</v>
      </c>
    </row>
    <row r="44" spans="1:7" x14ac:dyDescent="0.25">
      <c r="A44" s="9">
        <v>46134</v>
      </c>
      <c r="B44" s="6" t="str">
        <f t="shared" si="0"/>
        <v>Wednesday</v>
      </c>
      <c r="C44" s="2" t="s">
        <v>31</v>
      </c>
      <c r="E44" s="31"/>
      <c r="F44" s="31">
        <v>22000</v>
      </c>
      <c r="G44" s="32">
        <f>IF(A44="","",$E$3+SUM($E$9:E44)-SUM($F$9:F44))</f>
        <v>1233000</v>
      </c>
    </row>
    <row r="45" spans="1:7" x14ac:dyDescent="0.25">
      <c r="A45" s="9">
        <v>46135</v>
      </c>
      <c r="B45" s="6" t="str">
        <f t="shared" si="0"/>
        <v>Thursday</v>
      </c>
      <c r="C45" s="2" t="s">
        <v>27</v>
      </c>
      <c r="E45" s="31"/>
      <c r="F45" s="31">
        <v>50000</v>
      </c>
      <c r="G45" s="32">
        <f>IF(A45="","",$E$3+SUM($E$9:E45)-SUM($F$9:F45))</f>
        <v>1183000</v>
      </c>
    </row>
    <row r="46" spans="1:7" x14ac:dyDescent="0.25">
      <c r="A46" s="9">
        <v>46136</v>
      </c>
      <c r="B46" s="6" t="str">
        <f t="shared" si="0"/>
        <v>Friday</v>
      </c>
      <c r="C46" s="2" t="s">
        <v>27</v>
      </c>
      <c r="E46" s="31"/>
      <c r="F46" s="31">
        <v>50000</v>
      </c>
      <c r="G46" s="32">
        <f>IF(A46="","",$E$3+SUM($E$9:E46)-SUM($F$9:F46))</f>
        <v>1133000</v>
      </c>
    </row>
    <row r="47" spans="1:7" x14ac:dyDescent="0.25">
      <c r="A47" s="9">
        <v>46137</v>
      </c>
      <c r="B47" s="6" t="str">
        <f t="shared" si="0"/>
        <v>Saturday</v>
      </c>
      <c r="C47" s="2" t="s">
        <v>27</v>
      </c>
      <c r="E47" s="31"/>
      <c r="F47" s="31">
        <v>50000</v>
      </c>
      <c r="G47" s="32">
        <f>IF(A47="","",$E$3+SUM($E$9:E47)-SUM($F$9:F47))</f>
        <v>1083000</v>
      </c>
    </row>
    <row r="48" spans="1:7" x14ac:dyDescent="0.25">
      <c r="A48" s="9">
        <v>46138</v>
      </c>
      <c r="B48" s="6" t="str">
        <f t="shared" si="0"/>
        <v>Sunday</v>
      </c>
      <c r="C48" s="2" t="s">
        <v>27</v>
      </c>
      <c r="E48" s="31"/>
      <c r="F48" s="31">
        <v>50000</v>
      </c>
      <c r="G48" s="32">
        <f>IF(A48="","",$E$3+SUM($E$9:E48)-SUM($F$9:F48))</f>
        <v>1033000</v>
      </c>
    </row>
    <row r="49" spans="1:7" x14ac:dyDescent="0.25">
      <c r="A49" s="9">
        <v>46139</v>
      </c>
      <c r="B49" s="6" t="str">
        <f t="shared" si="0"/>
        <v>Monday</v>
      </c>
      <c r="C49" s="2" t="s">
        <v>27</v>
      </c>
      <c r="E49" s="31"/>
      <c r="F49" s="31">
        <v>70000</v>
      </c>
      <c r="G49" s="32">
        <f>IF(A49="","",$E$3+SUM($E$9:E49)-SUM($F$9:F49))</f>
        <v>963000</v>
      </c>
    </row>
    <row r="50" spans="1:7" x14ac:dyDescent="0.25">
      <c r="A50" s="9">
        <v>46139</v>
      </c>
      <c r="B50" s="6" t="str">
        <f t="shared" si="0"/>
        <v>Monday</v>
      </c>
      <c r="C50" s="2" t="s">
        <v>32</v>
      </c>
      <c r="E50" s="31"/>
      <c r="F50" s="31">
        <v>200000</v>
      </c>
      <c r="G50" s="32">
        <f>IF(A50="","",$E$3+SUM($E$9:E50)-SUM($F$9:F50))</f>
        <v>763000</v>
      </c>
    </row>
    <row r="51" spans="1:7" x14ac:dyDescent="0.25">
      <c r="A51" s="9">
        <v>46141</v>
      </c>
      <c r="B51" s="6" t="str">
        <f t="shared" si="0"/>
        <v>Wednesday</v>
      </c>
      <c r="C51" s="2" t="s">
        <v>25</v>
      </c>
      <c r="D51" s="2" t="s">
        <v>4</v>
      </c>
      <c r="E51" s="31">
        <v>700000</v>
      </c>
      <c r="F51" s="31"/>
      <c r="G51" s="32">
        <f>IF(A51="","",$E$3+SUM($E$9:E51)-SUM($F$9:F51))</f>
        <v>1463000</v>
      </c>
    </row>
    <row r="52" spans="1:7" x14ac:dyDescent="0.25">
      <c r="A52" s="9">
        <v>46141</v>
      </c>
      <c r="B52" s="6" t="str">
        <f t="shared" si="0"/>
        <v>Wednesday</v>
      </c>
      <c r="C52" s="2" t="s">
        <v>27</v>
      </c>
      <c r="E52" s="31"/>
      <c r="F52" s="31">
        <v>50000</v>
      </c>
      <c r="G52" s="32">
        <f>IF(A52="","",$E$3+SUM($E$9:E52)-SUM($F$9:F52))</f>
        <v>1413000</v>
      </c>
    </row>
    <row r="53" spans="1:7" x14ac:dyDescent="0.25">
      <c r="A53" s="9">
        <v>46141</v>
      </c>
      <c r="B53" s="6" t="str">
        <f t="shared" si="0"/>
        <v>Wednesday</v>
      </c>
      <c r="C53" s="2" t="s">
        <v>28</v>
      </c>
      <c r="E53" s="31"/>
      <c r="F53" s="31">
        <v>30000</v>
      </c>
      <c r="G53" s="32">
        <f>IF(A53="","",$E$3+SUM($E$9:E53)-SUM($F$9:F53))</f>
        <v>1383000</v>
      </c>
    </row>
    <row r="54" spans="1:7" x14ac:dyDescent="0.25">
      <c r="A54" s="9">
        <v>46141</v>
      </c>
      <c r="B54" s="6" t="str">
        <f t="shared" si="0"/>
        <v>Wednesday</v>
      </c>
      <c r="C54" s="2" t="s">
        <v>26</v>
      </c>
      <c r="E54" s="31"/>
      <c r="F54" s="31">
        <v>15000</v>
      </c>
      <c r="G54" s="32">
        <f>IF(A54="","",$E$3+SUM($E$9:E54)-SUM($F$9:F54))</f>
        <v>1368000</v>
      </c>
    </row>
    <row r="55" spans="1:7" x14ac:dyDescent="0.25">
      <c r="A55" s="9">
        <v>46142</v>
      </c>
      <c r="B55" s="6" t="str">
        <f t="shared" si="0"/>
        <v>Thursday</v>
      </c>
      <c r="C55" s="2" t="s">
        <v>27</v>
      </c>
      <c r="E55" s="31"/>
      <c r="F55" s="31">
        <v>50000</v>
      </c>
      <c r="G55" s="32">
        <f>IF(A55="","",$E$3+SUM($E$9:E55)-SUM($F$9:F55))</f>
        <v>1318000</v>
      </c>
    </row>
    <row r="56" spans="1:7" x14ac:dyDescent="0.25">
      <c r="A56" s="9">
        <v>46143</v>
      </c>
      <c r="B56" s="6" t="str">
        <f t="shared" si="0"/>
        <v>Friday</v>
      </c>
      <c r="C56" s="2" t="s">
        <v>27</v>
      </c>
      <c r="E56" s="31"/>
      <c r="F56" s="31">
        <v>50000</v>
      </c>
      <c r="G56" s="32">
        <f>IF(A56="","",$E$3+SUM($E$9:E56)-SUM($F$9:F56))</f>
        <v>1268000</v>
      </c>
    </row>
    <row r="57" spans="1:7" x14ac:dyDescent="0.25">
      <c r="A57" s="9">
        <v>46144</v>
      </c>
      <c r="B57" s="6" t="str">
        <f t="shared" si="0"/>
        <v>Saturday</v>
      </c>
      <c r="C57" s="2" t="s">
        <v>27</v>
      </c>
      <c r="E57" s="31"/>
      <c r="F57" s="31">
        <v>50000</v>
      </c>
      <c r="G57" s="32">
        <f>IF(A57="","",$E$3+SUM($E$9:E57)-SUM($F$9:F57))</f>
        <v>1218000</v>
      </c>
    </row>
    <row r="58" spans="1:7" x14ac:dyDescent="0.25">
      <c r="A58" s="9">
        <v>46145</v>
      </c>
      <c r="B58" s="6" t="str">
        <f t="shared" si="0"/>
        <v>Sunday</v>
      </c>
      <c r="C58" s="2" t="s">
        <v>28</v>
      </c>
      <c r="E58" s="31"/>
      <c r="F58" s="31">
        <v>50000</v>
      </c>
      <c r="G58" s="32">
        <f>IF(A58="","",$E$3+SUM($E$9:E58)-SUM($F$9:F58))</f>
        <v>1168000</v>
      </c>
    </row>
    <row r="59" spans="1:7" x14ac:dyDescent="0.25">
      <c r="A59" s="9">
        <v>46146</v>
      </c>
      <c r="B59" s="6" t="str">
        <f t="shared" si="0"/>
        <v>Monday</v>
      </c>
      <c r="C59" s="2" t="s">
        <v>27</v>
      </c>
      <c r="E59" s="31"/>
      <c r="F59" s="31">
        <v>50000</v>
      </c>
      <c r="G59" s="32">
        <f>IF(A59="","",$E$3+SUM($E$9:E59)-SUM($F$9:F59))</f>
        <v>1118000</v>
      </c>
    </row>
    <row r="60" spans="1:7" x14ac:dyDescent="0.25">
      <c r="A60" s="9">
        <v>46146</v>
      </c>
      <c r="B60" s="6" t="str">
        <f t="shared" si="0"/>
        <v>Monday</v>
      </c>
      <c r="C60" s="2" t="s">
        <v>26</v>
      </c>
      <c r="E60" s="31"/>
      <c r="F60" s="31">
        <v>30000</v>
      </c>
      <c r="G60" s="32">
        <f>IF(A60="","",$E$3+SUM($E$9:E60)-SUM($F$9:F60))</f>
        <v>1088000</v>
      </c>
    </row>
    <row r="61" spans="1:7" x14ac:dyDescent="0.25">
      <c r="A61" s="9">
        <v>46146</v>
      </c>
      <c r="B61" s="6" t="str">
        <f t="shared" si="0"/>
        <v>Monday</v>
      </c>
      <c r="C61" s="2" t="s">
        <v>27</v>
      </c>
      <c r="E61" s="31"/>
      <c r="F61" s="31">
        <v>50000</v>
      </c>
      <c r="G61" s="32">
        <f>IF(A61="","",$E$3+SUM($E$9:E61)-SUM($F$9:F61))</f>
        <v>1038000</v>
      </c>
    </row>
    <row r="62" spans="1:7" x14ac:dyDescent="0.25">
      <c r="A62" s="9">
        <v>46147</v>
      </c>
      <c r="B62" s="6" t="str">
        <f t="shared" si="0"/>
        <v>Tuesday</v>
      </c>
      <c r="C62" s="2" t="s">
        <v>27</v>
      </c>
      <c r="E62" s="31"/>
      <c r="F62" s="31">
        <v>50000</v>
      </c>
      <c r="G62" s="32">
        <f>IF(A62="","",$E$3+SUM($E$9:E62)-SUM($F$9:F62))</f>
        <v>988000</v>
      </c>
    </row>
    <row r="63" spans="1:7" x14ac:dyDescent="0.25">
      <c r="A63" s="9">
        <v>46147</v>
      </c>
      <c r="B63" s="6" t="str">
        <f t="shared" si="0"/>
        <v>Tuesday</v>
      </c>
      <c r="C63" s="2" t="s">
        <v>31</v>
      </c>
      <c r="E63" s="31"/>
      <c r="F63" s="31">
        <v>60000</v>
      </c>
      <c r="G63" s="32">
        <f>IF(A63="","",$E$3+SUM($E$9:E63)-SUM($F$9:F63))</f>
        <v>928000</v>
      </c>
    </row>
    <row r="64" spans="1:7" x14ac:dyDescent="0.25">
      <c r="A64" s="9">
        <v>46148</v>
      </c>
      <c r="B64" s="6" t="str">
        <f t="shared" si="0"/>
        <v>Wednesday</v>
      </c>
      <c r="C64" s="2" t="s">
        <v>27</v>
      </c>
      <c r="E64" s="31"/>
      <c r="F64" s="31">
        <v>50000</v>
      </c>
      <c r="G64" s="32">
        <f>IF(A64="","",$E$3+SUM($E$9:E64)-SUM($F$9:F64))</f>
        <v>878000</v>
      </c>
    </row>
    <row r="65" spans="1:7" x14ac:dyDescent="0.25">
      <c r="A65" s="9">
        <v>46148</v>
      </c>
      <c r="B65" s="6" t="str">
        <f t="shared" si="0"/>
        <v>Wednesday</v>
      </c>
      <c r="C65" s="2" t="s">
        <v>34</v>
      </c>
      <c r="E65" s="31"/>
      <c r="F65" s="31">
        <v>70000</v>
      </c>
      <c r="G65" s="32">
        <f>IF(A65="","",$E$3+SUM($E$9:E65)-SUM($F$9:F65))</f>
        <v>808000</v>
      </c>
    </row>
    <row r="66" spans="1:7" x14ac:dyDescent="0.25">
      <c r="A66" s="9">
        <v>46148</v>
      </c>
      <c r="B66" s="6" t="str">
        <f t="shared" si="0"/>
        <v>Wednesday</v>
      </c>
      <c r="C66" s="2" t="s">
        <v>25</v>
      </c>
      <c r="D66" s="2" t="s">
        <v>4</v>
      </c>
      <c r="E66" s="31">
        <v>700000</v>
      </c>
      <c r="F66" s="31"/>
      <c r="G66" s="32">
        <f>IF(A66="","",$E$3+SUM($E$9:E66)-SUM($F$9:F66))</f>
        <v>1508000</v>
      </c>
    </row>
    <row r="67" spans="1:7" x14ac:dyDescent="0.25">
      <c r="A67" s="9">
        <v>46149</v>
      </c>
      <c r="B67" s="6" t="str">
        <f t="shared" si="0"/>
        <v>Thursday</v>
      </c>
      <c r="C67" s="2" t="s">
        <v>27</v>
      </c>
      <c r="E67" s="31"/>
      <c r="F67" s="31">
        <v>50000</v>
      </c>
      <c r="G67" s="32">
        <f>IF(A67="","",$E$3+SUM($E$9:E67)-SUM($F$9:F67))</f>
        <v>1458000</v>
      </c>
    </row>
    <row r="68" spans="1:7" x14ac:dyDescent="0.25">
      <c r="A68" s="9">
        <v>46150</v>
      </c>
      <c r="B68" s="6" t="str">
        <f t="shared" si="0"/>
        <v>Friday</v>
      </c>
      <c r="C68" s="2" t="s">
        <v>27</v>
      </c>
      <c r="E68" s="31"/>
      <c r="F68" s="31">
        <v>70000</v>
      </c>
      <c r="G68" s="32">
        <f>IF(A68="","",$E$3+SUM($E$9:E68)-SUM($F$9:F68))</f>
        <v>1388000</v>
      </c>
    </row>
    <row r="69" spans="1:7" x14ac:dyDescent="0.25">
      <c r="A69" s="9">
        <v>46150</v>
      </c>
      <c r="B69" s="6" t="str">
        <f t="shared" si="0"/>
        <v>Friday</v>
      </c>
      <c r="C69" s="2" t="s">
        <v>26</v>
      </c>
      <c r="E69" s="31"/>
      <c r="F69" s="31">
        <v>40000</v>
      </c>
      <c r="G69" s="32">
        <f>IF(A69="","",$E$3+SUM($E$9:E69)-SUM($F$9:F69))</f>
        <v>1348000</v>
      </c>
    </row>
    <row r="70" spans="1:7" x14ac:dyDescent="0.25">
      <c r="A70" s="9">
        <v>46151</v>
      </c>
      <c r="B70" s="6" t="str">
        <f t="shared" si="0"/>
        <v>Saturday</v>
      </c>
      <c r="C70" s="2" t="s">
        <v>27</v>
      </c>
      <c r="E70" s="31"/>
      <c r="F70" s="31">
        <v>70000</v>
      </c>
      <c r="G70" s="32">
        <f>IF(A70="","",$E$3+SUM($E$9:E70)-SUM($F$9:F70))</f>
        <v>1278000</v>
      </c>
    </row>
    <row r="71" spans="1:7" x14ac:dyDescent="0.25">
      <c r="A71" s="9">
        <v>46152</v>
      </c>
      <c r="B71" s="6" t="str">
        <f t="shared" si="0"/>
        <v>Sunday</v>
      </c>
      <c r="C71" s="2" t="s">
        <v>27</v>
      </c>
      <c r="E71" s="31"/>
      <c r="F71" s="31">
        <v>120000</v>
      </c>
      <c r="G71" s="32">
        <f>IF(A71="","",$E$3+SUM($E$9:E71)-SUM($F$9:F71))</f>
        <v>1158000</v>
      </c>
    </row>
    <row r="72" spans="1:7" x14ac:dyDescent="0.25">
      <c r="A72" s="9">
        <v>46153</v>
      </c>
      <c r="B72" s="6" t="str">
        <f t="shared" si="0"/>
        <v>Monday</v>
      </c>
      <c r="C72" s="2" t="s">
        <v>28</v>
      </c>
      <c r="E72" s="31"/>
      <c r="F72" s="31">
        <v>50000</v>
      </c>
      <c r="G72" s="32">
        <f>IF(A72="","",$E$3+SUM($E$9:E72)-SUM($F$9:F72))</f>
        <v>1108000</v>
      </c>
    </row>
    <row r="73" spans="1:7" x14ac:dyDescent="0.25">
      <c r="A73" s="9">
        <v>46153</v>
      </c>
      <c r="B73" s="6" t="str">
        <f t="shared" si="0"/>
        <v>Monday</v>
      </c>
      <c r="C73" s="2" t="s">
        <v>27</v>
      </c>
      <c r="E73" s="31"/>
      <c r="F73" s="31">
        <v>50000</v>
      </c>
      <c r="G73" s="32">
        <f>IF(A73="","",$E$3+SUM($E$9:E73)-SUM($F$9:F73))</f>
        <v>1058000</v>
      </c>
    </row>
    <row r="74" spans="1:7" x14ac:dyDescent="0.25">
      <c r="A74" s="9">
        <v>46153</v>
      </c>
      <c r="B74" s="6" t="str">
        <f t="shared" ref="B74:B137" si="1">IF(A74="","",TEXT(A74,"dddd"))</f>
        <v>Monday</v>
      </c>
      <c r="C74" s="2" t="s">
        <v>27</v>
      </c>
      <c r="E74" s="31"/>
      <c r="F74" s="31">
        <v>50000</v>
      </c>
      <c r="G74" s="32">
        <f>IF(A74="","",$E$3+SUM($E$9:E74)-SUM($F$9:F74))</f>
        <v>1008000</v>
      </c>
    </row>
    <row r="75" spans="1:7" x14ac:dyDescent="0.25">
      <c r="A75" s="9">
        <v>46154</v>
      </c>
      <c r="B75" s="6" t="str">
        <f t="shared" si="1"/>
        <v>Tuesday</v>
      </c>
      <c r="C75" s="2" t="s">
        <v>34</v>
      </c>
      <c r="E75" s="31"/>
      <c r="F75" s="31">
        <v>70000</v>
      </c>
      <c r="G75" s="32">
        <f>IF(A75="","",$E$3+SUM($E$9:E75)-SUM($F$9:F75))</f>
        <v>938000</v>
      </c>
    </row>
    <row r="76" spans="1:7" x14ac:dyDescent="0.25">
      <c r="A76" s="9">
        <v>46154</v>
      </c>
      <c r="B76" s="6" t="str">
        <f t="shared" si="1"/>
        <v>Tuesday</v>
      </c>
      <c r="C76" s="2" t="s">
        <v>27</v>
      </c>
      <c r="E76" s="31"/>
      <c r="F76" s="31">
        <v>55000</v>
      </c>
      <c r="G76" s="32">
        <f>IF(A76="","",$E$3+SUM($E$9:E76)-SUM($F$9:F76))</f>
        <v>883000</v>
      </c>
    </row>
    <row r="77" spans="1:7" x14ac:dyDescent="0.25">
      <c r="A77" s="9">
        <v>46155</v>
      </c>
      <c r="B77" s="6" t="str">
        <f t="shared" si="1"/>
        <v>Wednesday</v>
      </c>
      <c r="C77" s="2" t="s">
        <v>25</v>
      </c>
      <c r="D77" s="2" t="s">
        <v>4</v>
      </c>
      <c r="E77" s="31">
        <v>700000</v>
      </c>
      <c r="F77" s="31"/>
      <c r="G77" s="32">
        <f>IF(A77="","",$E$3+SUM($E$9:E77)-SUM($F$9:F77))</f>
        <v>1583000</v>
      </c>
    </row>
    <row r="78" spans="1:7" x14ac:dyDescent="0.25">
      <c r="A78" s="9">
        <v>46155</v>
      </c>
      <c r="B78" s="6" t="str">
        <f t="shared" si="1"/>
        <v>Wednesday</v>
      </c>
      <c r="C78" s="2" t="s">
        <v>27</v>
      </c>
      <c r="E78" s="31"/>
      <c r="F78" s="31">
        <v>70000</v>
      </c>
      <c r="G78" s="32">
        <f>IF(A78="","",$E$3+SUM($E$9:E78)-SUM($F$9:F78))</f>
        <v>1513000</v>
      </c>
    </row>
    <row r="79" spans="1:7" x14ac:dyDescent="0.25">
      <c r="A79" s="9">
        <v>46155</v>
      </c>
      <c r="B79" s="6" t="str">
        <f t="shared" si="1"/>
        <v>Wednesday</v>
      </c>
      <c r="C79" s="2" t="s">
        <v>28</v>
      </c>
      <c r="E79" s="31"/>
      <c r="F79" s="31">
        <v>50000</v>
      </c>
      <c r="G79" s="32">
        <f>IF(A79="","",$E$3+SUM($E$9:E79)-SUM($F$9:F79))</f>
        <v>1463000</v>
      </c>
    </row>
    <row r="80" spans="1:7" x14ac:dyDescent="0.25">
      <c r="A80" s="9">
        <v>46156</v>
      </c>
      <c r="B80" s="6" t="str">
        <f t="shared" si="1"/>
        <v>Thursday</v>
      </c>
      <c r="C80" s="2" t="s">
        <v>27</v>
      </c>
      <c r="E80" s="31"/>
      <c r="F80" s="31">
        <v>50000</v>
      </c>
      <c r="G80" s="32">
        <f>IF(A80="","",$E$3+SUM($E$9:E80)-SUM($F$9:F80))</f>
        <v>1413000</v>
      </c>
    </row>
    <row r="81" spans="1:7" x14ac:dyDescent="0.25">
      <c r="A81" s="9">
        <v>46156</v>
      </c>
      <c r="B81" s="6" t="str">
        <f t="shared" si="1"/>
        <v>Thursday</v>
      </c>
      <c r="C81" s="2" t="s">
        <v>26</v>
      </c>
      <c r="E81" s="31"/>
      <c r="F81" s="31">
        <v>50000</v>
      </c>
      <c r="G81" s="32">
        <f>IF(A81="","",$E$3+SUM($E$9:E81)-SUM($F$9:F81))</f>
        <v>1363000</v>
      </c>
    </row>
    <row r="82" spans="1:7" x14ac:dyDescent="0.25">
      <c r="A82" s="9">
        <v>46157</v>
      </c>
      <c r="B82" s="6" t="str">
        <f t="shared" si="1"/>
        <v>Friday</v>
      </c>
      <c r="C82" s="2" t="s">
        <v>27</v>
      </c>
      <c r="E82" s="31"/>
      <c r="F82" s="31">
        <v>60000</v>
      </c>
      <c r="G82" s="32">
        <f>IF(A82="","",$E$3+SUM($E$9:E82)-SUM($F$9:F82))</f>
        <v>1303000</v>
      </c>
    </row>
    <row r="83" spans="1:7" x14ac:dyDescent="0.25">
      <c r="A83" s="9">
        <v>46157</v>
      </c>
      <c r="B83" s="6" t="str">
        <f t="shared" si="1"/>
        <v>Friday</v>
      </c>
      <c r="C83" s="2" t="s">
        <v>32</v>
      </c>
      <c r="E83" s="31"/>
      <c r="F83" s="31">
        <v>200000</v>
      </c>
      <c r="G83" s="32">
        <f>IF(A83="","",$E$3+SUM($E$9:E83)-SUM($F$9:F83))</f>
        <v>1103000</v>
      </c>
    </row>
    <row r="84" spans="1:7" x14ac:dyDescent="0.25">
      <c r="A84" s="9">
        <v>46158</v>
      </c>
      <c r="B84" s="6" t="str">
        <f t="shared" si="1"/>
        <v>Saturday</v>
      </c>
      <c r="C84" s="2" t="s">
        <v>27</v>
      </c>
      <c r="E84" s="31"/>
      <c r="F84" s="31">
        <v>60000</v>
      </c>
      <c r="G84" s="32">
        <f>IF(A84="","",$E$3+SUM($E$9:E84)-SUM($F$9:F84))</f>
        <v>1043000</v>
      </c>
    </row>
    <row r="85" spans="1:7" x14ac:dyDescent="0.25">
      <c r="A85" s="9">
        <v>46159</v>
      </c>
      <c r="B85" s="6" t="str">
        <f t="shared" si="1"/>
        <v>Sunday</v>
      </c>
      <c r="C85" s="2" t="s">
        <v>27</v>
      </c>
      <c r="E85" s="31"/>
      <c r="F85" s="31">
        <v>60000</v>
      </c>
      <c r="G85" s="32">
        <f>IF(A85="","",$E$3+SUM($E$9:E85)-SUM($F$9:F85))</f>
        <v>983000</v>
      </c>
    </row>
    <row r="86" spans="1:7" x14ac:dyDescent="0.25">
      <c r="A86" s="9">
        <v>46160</v>
      </c>
      <c r="B86" s="6" t="str">
        <f t="shared" si="1"/>
        <v>Monday</v>
      </c>
      <c r="C86" s="2" t="s">
        <v>28</v>
      </c>
      <c r="E86" s="31"/>
      <c r="F86" s="31">
        <v>40000</v>
      </c>
      <c r="G86" s="32">
        <f>IF(A86="","",$E$3+SUM($E$9:E86)-SUM($F$9:F86))</f>
        <v>943000</v>
      </c>
    </row>
    <row r="87" spans="1:7" x14ac:dyDescent="0.25">
      <c r="A87" s="9">
        <v>46160</v>
      </c>
      <c r="B87" s="6" t="str">
        <f t="shared" si="1"/>
        <v>Monday</v>
      </c>
      <c r="C87" s="2" t="s">
        <v>27</v>
      </c>
      <c r="E87" s="31"/>
      <c r="F87" s="31">
        <v>50000</v>
      </c>
      <c r="G87" s="32">
        <f>IF(A87="","",$E$3+SUM($E$9:E87)-SUM($F$9:F87))</f>
        <v>893000</v>
      </c>
    </row>
    <row r="88" spans="1:7" x14ac:dyDescent="0.25">
      <c r="A88" s="9">
        <v>46161</v>
      </c>
      <c r="B88" s="6" t="str">
        <f t="shared" si="1"/>
        <v>Tuesday</v>
      </c>
      <c r="C88" s="2" t="s">
        <v>27</v>
      </c>
      <c r="E88" s="31"/>
      <c r="F88" s="31">
        <v>50000</v>
      </c>
      <c r="G88" s="32">
        <f>IF(A88="","",$E$3+SUM($E$9:E88)-SUM($F$9:F88))</f>
        <v>843000</v>
      </c>
    </row>
    <row r="89" spans="1:7" x14ac:dyDescent="0.25">
      <c r="A89" s="9">
        <v>46162</v>
      </c>
      <c r="B89" s="6" t="str">
        <f t="shared" si="1"/>
        <v>Wednesday</v>
      </c>
      <c r="C89" s="2" t="s">
        <v>25</v>
      </c>
      <c r="D89" s="2" t="s">
        <v>4</v>
      </c>
      <c r="E89" s="31">
        <v>700000</v>
      </c>
      <c r="F89" s="31"/>
      <c r="G89" s="32">
        <f>IF(A89="","",$E$3+SUM($E$9:E89)-SUM($F$9:F89))</f>
        <v>1543000</v>
      </c>
    </row>
    <row r="90" spans="1:7" x14ac:dyDescent="0.25">
      <c r="A90" s="9">
        <v>46162</v>
      </c>
      <c r="B90" s="6" t="str">
        <f t="shared" si="1"/>
        <v>Wednesday</v>
      </c>
      <c r="C90" s="2" t="s">
        <v>27</v>
      </c>
      <c r="E90" s="31"/>
      <c r="F90" s="31">
        <v>50000</v>
      </c>
      <c r="G90" s="32">
        <f>IF(A90="","",$E$3+SUM($E$9:E90)-SUM($F$9:F90))</f>
        <v>1493000</v>
      </c>
    </row>
    <row r="91" spans="1:7" x14ac:dyDescent="0.25">
      <c r="A91" s="9">
        <v>46162</v>
      </c>
      <c r="B91" s="6" t="str">
        <f t="shared" si="1"/>
        <v>Wednesday</v>
      </c>
      <c r="C91" s="2" t="s">
        <v>28</v>
      </c>
      <c r="E91" s="31"/>
      <c r="F91" s="31">
        <v>40000</v>
      </c>
      <c r="G91" s="32">
        <f>IF(A91="","",$E$3+SUM($E$9:E91)-SUM($F$9:F91))</f>
        <v>1453000</v>
      </c>
    </row>
    <row r="92" spans="1:7" x14ac:dyDescent="0.25">
      <c r="A92" s="9">
        <v>46163</v>
      </c>
      <c r="B92" s="6" t="str">
        <f t="shared" si="1"/>
        <v>Thursday</v>
      </c>
      <c r="C92" s="2" t="s">
        <v>27</v>
      </c>
      <c r="E92" s="31"/>
      <c r="F92" s="31">
        <v>50000</v>
      </c>
      <c r="G92" s="32">
        <f>IF(A92="","",$E$3+SUM($E$9:E92)-SUM($F$9:F92))</f>
        <v>1403000</v>
      </c>
    </row>
    <row r="93" spans="1:7" x14ac:dyDescent="0.25">
      <c r="A93" s="9">
        <v>46165</v>
      </c>
      <c r="B93" s="6" t="str">
        <f t="shared" si="1"/>
        <v>Saturday</v>
      </c>
      <c r="C93" s="2" t="s">
        <v>27</v>
      </c>
      <c r="E93" s="31"/>
      <c r="F93" s="31">
        <v>50000</v>
      </c>
      <c r="G93" s="32">
        <f>IF(A93="","",$E$3+SUM($E$9:E93)-SUM($F$9:F93))</f>
        <v>1353000</v>
      </c>
    </row>
    <row r="94" spans="1:7" x14ac:dyDescent="0.25">
      <c r="A94" s="9">
        <v>46165</v>
      </c>
      <c r="B94" s="6" t="str">
        <f t="shared" si="1"/>
        <v>Saturday</v>
      </c>
      <c r="C94" s="2" t="s">
        <v>26</v>
      </c>
      <c r="E94" s="31"/>
      <c r="F94" s="31">
        <v>50000</v>
      </c>
      <c r="G94" s="32">
        <f>IF(A94="","",$E$3+SUM($E$9:E94)-SUM($F$9:F94))</f>
        <v>1303000</v>
      </c>
    </row>
    <row r="95" spans="1:7" x14ac:dyDescent="0.25">
      <c r="A95" s="9">
        <v>46166</v>
      </c>
      <c r="B95" s="6" t="str">
        <f t="shared" si="1"/>
        <v>Sunday</v>
      </c>
      <c r="C95" s="2" t="s">
        <v>34</v>
      </c>
      <c r="E95" s="31"/>
      <c r="F95" s="31">
        <v>70000</v>
      </c>
      <c r="G95" s="32">
        <f>IF(A95="","",$E$3+SUM($E$9:E95)-SUM($F$9:F95))</f>
        <v>1233000</v>
      </c>
    </row>
    <row r="96" spans="1:7" x14ac:dyDescent="0.25">
      <c r="A96" s="9">
        <v>46167</v>
      </c>
      <c r="B96" s="6" t="str">
        <f t="shared" si="1"/>
        <v>Monday</v>
      </c>
      <c r="C96" s="2" t="s">
        <v>28</v>
      </c>
      <c r="E96" s="31"/>
      <c r="F96" s="31">
        <v>45000</v>
      </c>
      <c r="G96" s="32">
        <f>IF(A96="","",$E$3+SUM($E$9:E96)-SUM($F$9:F96))</f>
        <v>1188000</v>
      </c>
    </row>
    <row r="97" spans="1:7" x14ac:dyDescent="0.25">
      <c r="A97" s="9">
        <v>46167</v>
      </c>
      <c r="B97" s="6" t="str">
        <f t="shared" si="1"/>
        <v>Monday</v>
      </c>
      <c r="C97" s="2" t="s">
        <v>27</v>
      </c>
      <c r="E97" s="31"/>
      <c r="F97" s="31">
        <v>50000</v>
      </c>
      <c r="G97" s="32">
        <f>IF(A97="","",$E$3+SUM($E$9:E97)-SUM($F$9:F97))</f>
        <v>1138000</v>
      </c>
    </row>
    <row r="98" spans="1:7" x14ac:dyDescent="0.25">
      <c r="A98" s="9">
        <v>46168</v>
      </c>
      <c r="B98" s="6" t="str">
        <f t="shared" si="1"/>
        <v>Tuesday</v>
      </c>
      <c r="C98" s="2" t="s">
        <v>27</v>
      </c>
      <c r="E98" s="31"/>
      <c r="F98" s="31">
        <v>50000</v>
      </c>
      <c r="G98" s="32">
        <f>IF(A98="","",$E$3+SUM($E$9:E98)-SUM($F$9:F98))</f>
        <v>1088000</v>
      </c>
    </row>
    <row r="99" spans="1:7" x14ac:dyDescent="0.25">
      <c r="A99" s="9">
        <v>46168</v>
      </c>
      <c r="B99" s="6" t="str">
        <f t="shared" si="1"/>
        <v>Tuesday</v>
      </c>
      <c r="C99" s="2" t="s">
        <v>26</v>
      </c>
      <c r="E99" s="31"/>
      <c r="F99" s="31">
        <v>20000</v>
      </c>
      <c r="G99" s="32">
        <f>IF(A99="","",$E$3+SUM($E$9:E99)-SUM($F$9:F99))</f>
        <v>1068000</v>
      </c>
    </row>
    <row r="100" spans="1:7" x14ac:dyDescent="0.25">
      <c r="A100" s="9">
        <v>46169</v>
      </c>
      <c r="B100" s="6" t="str">
        <f t="shared" si="1"/>
        <v>Wednesday</v>
      </c>
      <c r="C100" s="2" t="s">
        <v>25</v>
      </c>
      <c r="D100" s="2" t="s">
        <v>4</v>
      </c>
      <c r="E100" s="31">
        <v>700000</v>
      </c>
      <c r="F100" s="31"/>
      <c r="G100" s="32">
        <f>IF(A100="","",$E$3+SUM($E$9:E100)-SUM($F$9:F100))</f>
        <v>1768000</v>
      </c>
    </row>
    <row r="101" spans="1:7" x14ac:dyDescent="0.25">
      <c r="A101" s="9">
        <v>46169</v>
      </c>
      <c r="B101" s="6" t="str">
        <f t="shared" si="1"/>
        <v>Wednesday</v>
      </c>
      <c r="C101" s="2" t="s">
        <v>27</v>
      </c>
      <c r="E101" s="31"/>
      <c r="F101" s="31">
        <v>100000</v>
      </c>
      <c r="G101" s="32">
        <f>IF(A101="","",$E$3+SUM($E$9:E101)-SUM($F$9:F101))</f>
        <v>1668000</v>
      </c>
    </row>
    <row r="102" spans="1:7" x14ac:dyDescent="0.25">
      <c r="A102" s="9">
        <v>46169</v>
      </c>
      <c r="B102" s="6" t="str">
        <f t="shared" si="1"/>
        <v>Wednesday</v>
      </c>
      <c r="C102" s="2" t="s">
        <v>54</v>
      </c>
      <c r="E102" s="31"/>
      <c r="F102" s="31">
        <v>55000</v>
      </c>
      <c r="G102" s="32">
        <f>IF(A102="","",$E$3+SUM($E$9:E102)-SUM($F$9:F102))</f>
        <v>1613000</v>
      </c>
    </row>
    <row r="103" spans="1:7" x14ac:dyDescent="0.25">
      <c r="A103" s="9">
        <v>46169</v>
      </c>
      <c r="B103" s="6" t="str">
        <f t="shared" si="1"/>
        <v>Wednesday</v>
      </c>
      <c r="C103" s="2" t="s">
        <v>55</v>
      </c>
      <c r="E103" s="31"/>
      <c r="F103" s="31">
        <v>220000</v>
      </c>
      <c r="G103" s="32">
        <f>IF(A103="","",$E$3+SUM($E$9:E103)-SUM($F$9:F103))</f>
        <v>1393000</v>
      </c>
    </row>
    <row r="104" spans="1:7" x14ac:dyDescent="0.25">
      <c r="A104" s="9">
        <v>46169</v>
      </c>
      <c r="B104" s="6" t="str">
        <f t="shared" si="1"/>
        <v>Wednesday</v>
      </c>
      <c r="C104" s="2" t="s">
        <v>56</v>
      </c>
      <c r="E104" s="31"/>
      <c r="F104" s="31">
        <v>150000</v>
      </c>
      <c r="G104" s="32">
        <f>IF(A104="","",$E$3+SUM($E$9:E104)-SUM($F$9:F104))</f>
        <v>1243000</v>
      </c>
    </row>
    <row r="105" spans="1:7" x14ac:dyDescent="0.25">
      <c r="A105" s="9">
        <v>46170</v>
      </c>
      <c r="B105" s="6" t="str">
        <f t="shared" si="1"/>
        <v>Thursday</v>
      </c>
      <c r="C105" s="2" t="s">
        <v>27</v>
      </c>
      <c r="E105" s="31"/>
      <c r="F105" s="31">
        <v>50000</v>
      </c>
      <c r="G105" s="32">
        <f>IF(A105="","",$E$3+SUM($E$9:E105)-SUM($F$9:F105))</f>
        <v>1193000</v>
      </c>
    </row>
    <row r="106" spans="1:7" x14ac:dyDescent="0.25">
      <c r="A106" s="9">
        <v>46171</v>
      </c>
      <c r="B106" s="6" t="str">
        <f t="shared" si="1"/>
        <v>Friday</v>
      </c>
      <c r="C106" s="2" t="s">
        <v>27</v>
      </c>
      <c r="E106" s="31"/>
      <c r="F106" s="31">
        <v>50000</v>
      </c>
      <c r="G106" s="32">
        <f>IF(A106="","",$E$3+SUM($E$9:E106)-SUM($F$9:F106))</f>
        <v>1143000</v>
      </c>
    </row>
    <row r="107" spans="1:7" x14ac:dyDescent="0.25">
      <c r="A107" s="9">
        <v>46171</v>
      </c>
      <c r="B107" s="6" t="str">
        <f t="shared" si="1"/>
        <v>Friday</v>
      </c>
      <c r="C107" s="2" t="s">
        <v>30</v>
      </c>
      <c r="E107" s="31"/>
      <c r="F107" s="31">
        <v>150000</v>
      </c>
      <c r="G107" s="32">
        <f>IF(A107="","",$E$3+SUM($E$9:E107)-SUM($F$9:F107))</f>
        <v>993000</v>
      </c>
    </row>
    <row r="108" spans="1:7" x14ac:dyDescent="0.25">
      <c r="A108" s="9">
        <v>46172</v>
      </c>
      <c r="B108" s="6" t="str">
        <f t="shared" si="1"/>
        <v>Saturday</v>
      </c>
      <c r="C108" s="2" t="s">
        <v>57</v>
      </c>
      <c r="E108" s="31"/>
      <c r="F108" s="31">
        <v>20000</v>
      </c>
      <c r="G108" s="32">
        <f>IF(A108="","",$E$3+SUM($E$9:E108)-SUM($F$9:F108))</f>
        <v>973000</v>
      </c>
    </row>
    <row r="109" spans="1:7" x14ac:dyDescent="0.25">
      <c r="A109" s="9">
        <v>46173</v>
      </c>
      <c r="B109" s="6" t="str">
        <f t="shared" si="1"/>
        <v>Sunday</v>
      </c>
      <c r="C109" s="2" t="s">
        <v>27</v>
      </c>
      <c r="E109" s="31"/>
      <c r="F109" s="31">
        <v>50000</v>
      </c>
      <c r="G109" s="32">
        <f>IF(A109="","",$E$3+SUM($E$9:E109)-SUM($F$9:F109))</f>
        <v>923000</v>
      </c>
    </row>
    <row r="110" spans="1:7" x14ac:dyDescent="0.25">
      <c r="A110" s="9">
        <v>46174</v>
      </c>
      <c r="B110" s="6" t="str">
        <f t="shared" si="1"/>
        <v>Monday</v>
      </c>
      <c r="C110" s="2" t="s">
        <v>27</v>
      </c>
      <c r="E110" s="31"/>
      <c r="F110" s="31">
        <v>100000</v>
      </c>
      <c r="G110" s="32">
        <f>IF(A110="","",$E$3+SUM($E$9:E110)-SUM($F$9:F110))</f>
        <v>823000</v>
      </c>
    </row>
    <row r="111" spans="1:7" x14ac:dyDescent="0.25">
      <c r="A111" s="9">
        <v>46174</v>
      </c>
      <c r="B111" s="6" t="str">
        <f t="shared" si="1"/>
        <v>Monday</v>
      </c>
      <c r="C111" s="2" t="s">
        <v>28</v>
      </c>
      <c r="E111" s="31"/>
      <c r="F111" s="31">
        <v>50000</v>
      </c>
      <c r="G111" s="32">
        <f>IF(A111="","",$E$3+SUM($E$9:E111)-SUM($F$9:F111))</f>
        <v>773000</v>
      </c>
    </row>
    <row r="112" spans="1:7" x14ac:dyDescent="0.25">
      <c r="A112" s="9">
        <v>46175</v>
      </c>
      <c r="B112" s="6" t="str">
        <f t="shared" si="1"/>
        <v>Tuesday</v>
      </c>
      <c r="C112" s="2" t="s">
        <v>27</v>
      </c>
      <c r="E112" s="31"/>
      <c r="F112" s="31">
        <v>50000</v>
      </c>
      <c r="G112" s="32">
        <f>IF(A112="","",$E$3+SUM($E$9:E112)-SUM($F$9:F112))</f>
        <v>723000</v>
      </c>
    </row>
    <row r="113" spans="1:7" x14ac:dyDescent="0.25">
      <c r="A113" s="9">
        <v>46176</v>
      </c>
      <c r="B113" s="6" t="str">
        <f t="shared" si="1"/>
        <v>Wednesday</v>
      </c>
      <c r="C113" s="2" t="s">
        <v>25</v>
      </c>
      <c r="D113" s="2" t="s">
        <v>4</v>
      </c>
      <c r="E113" s="31">
        <v>700000</v>
      </c>
      <c r="F113" s="31"/>
      <c r="G113" s="32">
        <f>IF(A113="","",$E$3+SUM($E$9:E113)-SUM($F$9:F113))</f>
        <v>1423000</v>
      </c>
    </row>
    <row r="114" spans="1:7" x14ac:dyDescent="0.25">
      <c r="A114" s="9"/>
      <c r="B114" s="6" t="str">
        <f t="shared" si="1"/>
        <v/>
      </c>
      <c r="E114" s="31"/>
      <c r="F114" s="31"/>
      <c r="G114" s="32" t="str">
        <f>IF(A114="","",$E$3+SUM($E$9:E114)-SUM($F$9:F114))</f>
        <v/>
      </c>
    </row>
    <row r="115" spans="1:7" x14ac:dyDescent="0.25">
      <c r="A115" s="9"/>
      <c r="B115" s="6" t="str">
        <f t="shared" si="1"/>
        <v/>
      </c>
      <c r="E115" s="31"/>
      <c r="F115" s="31"/>
      <c r="G115" s="32" t="str">
        <f>IF(A115="","",$E$3+SUM($E$9:E115)-SUM($F$9:F115))</f>
        <v/>
      </c>
    </row>
    <row r="116" spans="1:7" x14ac:dyDescent="0.25">
      <c r="A116" s="9"/>
      <c r="B116" s="6" t="str">
        <f t="shared" si="1"/>
        <v/>
      </c>
      <c r="E116" s="31"/>
      <c r="F116" s="31"/>
      <c r="G116" s="32" t="str">
        <f>IF(A116="","",$E$3+SUM($E$9:E116)-SUM($F$9:F116))</f>
        <v/>
      </c>
    </row>
    <row r="117" spans="1:7" x14ac:dyDescent="0.25">
      <c r="A117" s="9"/>
      <c r="B117" s="6" t="str">
        <f t="shared" si="1"/>
        <v/>
      </c>
      <c r="E117" s="31"/>
      <c r="F117" s="31"/>
      <c r="G117" s="32" t="str">
        <f>IF(A117="","",$E$3+SUM($E$9:E117)-SUM($F$9:F117))</f>
        <v/>
      </c>
    </row>
    <row r="118" spans="1:7" x14ac:dyDescent="0.25">
      <c r="A118" s="9"/>
      <c r="B118" s="6" t="str">
        <f t="shared" si="1"/>
        <v/>
      </c>
      <c r="E118" s="31"/>
      <c r="F118" s="31"/>
      <c r="G118" s="32" t="str">
        <f>IF(A118="","",$E$3+SUM($E$9:E118)-SUM($F$9:F118))</f>
        <v/>
      </c>
    </row>
    <row r="119" spans="1:7" x14ac:dyDescent="0.25">
      <c r="A119" s="9"/>
      <c r="B119" s="6" t="str">
        <f t="shared" si="1"/>
        <v/>
      </c>
      <c r="E119" s="31"/>
      <c r="F119" s="31"/>
      <c r="G119" s="32" t="str">
        <f>IF(A119="","",$E$3+SUM($E$9:E119)-SUM($F$9:F119))</f>
        <v/>
      </c>
    </row>
    <row r="120" spans="1:7" x14ac:dyDescent="0.25">
      <c r="A120" s="9"/>
      <c r="B120" s="6" t="str">
        <f t="shared" si="1"/>
        <v/>
      </c>
      <c r="E120" s="31"/>
      <c r="F120" s="31"/>
      <c r="G120" s="32" t="str">
        <f>IF(A120="","",$E$3+SUM($E$9:E120)-SUM($F$9:F120))</f>
        <v/>
      </c>
    </row>
    <row r="121" spans="1:7" x14ac:dyDescent="0.25">
      <c r="A121" s="9"/>
      <c r="B121" s="6" t="str">
        <f t="shared" si="1"/>
        <v/>
      </c>
      <c r="E121" s="31"/>
      <c r="F121" s="31"/>
      <c r="G121" s="32" t="str">
        <f>IF(A121="","",$E$3+SUM($E$9:E121)-SUM($F$9:F121))</f>
        <v/>
      </c>
    </row>
    <row r="122" spans="1:7" x14ac:dyDescent="0.25">
      <c r="A122" s="9"/>
      <c r="B122" s="6" t="str">
        <f t="shared" si="1"/>
        <v/>
      </c>
      <c r="E122" s="31"/>
      <c r="F122" s="31"/>
      <c r="G122" s="32" t="str">
        <f>IF(A122="","",$E$3+SUM($E$9:E122)-SUM($F$9:F122))</f>
        <v/>
      </c>
    </row>
    <row r="123" spans="1:7" x14ac:dyDescent="0.25">
      <c r="A123" s="9"/>
      <c r="B123" s="6" t="str">
        <f t="shared" si="1"/>
        <v/>
      </c>
      <c r="E123" s="31"/>
      <c r="F123" s="31"/>
      <c r="G123" s="32" t="str">
        <f>IF(A123="","",$E$3+SUM($E$9:E123)-SUM($F$9:F123))</f>
        <v/>
      </c>
    </row>
    <row r="124" spans="1:7" x14ac:dyDescent="0.25">
      <c r="A124" s="9"/>
      <c r="B124" s="6" t="str">
        <f t="shared" si="1"/>
        <v/>
      </c>
      <c r="E124" s="31"/>
      <c r="F124" s="31"/>
      <c r="G124" s="32" t="str">
        <f>IF(A124="","",$E$3+SUM($E$9:E124)-SUM($F$9:F124))</f>
        <v/>
      </c>
    </row>
    <row r="125" spans="1:7" x14ac:dyDescent="0.25">
      <c r="A125" s="9"/>
      <c r="B125" s="6" t="str">
        <f t="shared" si="1"/>
        <v/>
      </c>
      <c r="E125" s="31"/>
      <c r="F125" s="31"/>
      <c r="G125" s="32" t="str">
        <f>IF(A125="","",$E$3+SUM($E$9:E125)-SUM($F$9:F125))</f>
        <v/>
      </c>
    </row>
    <row r="126" spans="1:7" x14ac:dyDescent="0.25">
      <c r="A126" s="9"/>
      <c r="B126" s="6" t="str">
        <f t="shared" si="1"/>
        <v/>
      </c>
      <c r="E126" s="31"/>
      <c r="F126" s="31"/>
      <c r="G126" s="32" t="str">
        <f>IF(A126="","",$E$3+SUM($E$9:E126)-SUM($F$9:F126))</f>
        <v/>
      </c>
    </row>
    <row r="127" spans="1:7" x14ac:dyDescent="0.25">
      <c r="A127" s="9"/>
      <c r="B127" s="6" t="str">
        <f t="shared" si="1"/>
        <v/>
      </c>
      <c r="E127" s="31"/>
      <c r="F127" s="31"/>
      <c r="G127" s="32" t="str">
        <f>IF(A127="","",$E$3+SUM($E$9:E127)-SUM($F$9:F127))</f>
        <v/>
      </c>
    </row>
    <row r="128" spans="1:7" x14ac:dyDescent="0.25">
      <c r="A128" s="9"/>
      <c r="B128" s="6" t="str">
        <f t="shared" si="1"/>
        <v/>
      </c>
      <c r="E128" s="31"/>
      <c r="F128" s="31"/>
      <c r="G128" s="32" t="str">
        <f>IF(A128="","",$E$3+SUM($E$9:E128)-SUM($F$9:F128))</f>
        <v/>
      </c>
    </row>
    <row r="129" spans="1:7" x14ac:dyDescent="0.25">
      <c r="A129" s="9"/>
      <c r="B129" s="6" t="str">
        <f t="shared" si="1"/>
        <v/>
      </c>
      <c r="E129" s="31"/>
      <c r="F129" s="31"/>
      <c r="G129" s="32" t="str">
        <f>IF(A129="","",$E$3+SUM($E$9:E129)-SUM($F$9:F129))</f>
        <v/>
      </c>
    </row>
    <row r="130" spans="1:7" x14ac:dyDescent="0.25">
      <c r="A130" s="9"/>
      <c r="B130" s="6" t="str">
        <f t="shared" si="1"/>
        <v/>
      </c>
      <c r="E130" s="31"/>
      <c r="F130" s="31"/>
      <c r="G130" s="32" t="str">
        <f>IF(A130="","",$E$3+SUM($E$9:E130)-SUM($F$9:F130))</f>
        <v/>
      </c>
    </row>
    <row r="131" spans="1:7" x14ac:dyDescent="0.25">
      <c r="A131" s="9"/>
      <c r="B131" s="6" t="str">
        <f t="shared" si="1"/>
        <v/>
      </c>
      <c r="E131" s="31"/>
      <c r="F131" s="31"/>
      <c r="G131" s="32" t="str">
        <f>IF(A131="","",$E$3+SUM($E$9:E131)-SUM($F$9:F131))</f>
        <v/>
      </c>
    </row>
    <row r="132" spans="1:7" x14ac:dyDescent="0.25">
      <c r="A132" s="9"/>
      <c r="B132" s="6" t="str">
        <f t="shared" si="1"/>
        <v/>
      </c>
      <c r="E132" s="31"/>
      <c r="F132" s="31"/>
      <c r="G132" s="32" t="str">
        <f>IF(A132="","",$E$3+SUM($E$9:E132)-SUM($F$9:F132))</f>
        <v/>
      </c>
    </row>
    <row r="133" spans="1:7" x14ac:dyDescent="0.25">
      <c r="A133" s="9"/>
      <c r="B133" s="6" t="str">
        <f t="shared" si="1"/>
        <v/>
      </c>
      <c r="E133" s="31"/>
      <c r="F133" s="31"/>
      <c r="G133" s="32" t="str">
        <f>IF(A133="","",$E$3+SUM($E$9:E133)-SUM($F$9:F133))</f>
        <v/>
      </c>
    </row>
    <row r="134" spans="1:7" x14ac:dyDescent="0.25">
      <c r="A134" s="9"/>
      <c r="B134" s="6" t="str">
        <f t="shared" si="1"/>
        <v/>
      </c>
      <c r="E134" s="31"/>
      <c r="F134" s="31"/>
      <c r="G134" s="32" t="str">
        <f>IF(A134="","",$E$3+SUM($E$9:E134)-SUM($F$9:F134))</f>
        <v/>
      </c>
    </row>
    <row r="135" spans="1:7" x14ac:dyDescent="0.25">
      <c r="A135" s="9"/>
      <c r="B135" s="6" t="str">
        <f t="shared" si="1"/>
        <v/>
      </c>
      <c r="E135" s="31"/>
      <c r="F135" s="31"/>
      <c r="G135" s="32" t="str">
        <f>IF(A135="","",$E$3+SUM($E$9:E135)-SUM($F$9:F135))</f>
        <v/>
      </c>
    </row>
    <row r="136" spans="1:7" x14ac:dyDescent="0.25">
      <c r="A136" s="9"/>
      <c r="B136" s="6" t="str">
        <f t="shared" si="1"/>
        <v/>
      </c>
      <c r="E136" s="31"/>
      <c r="F136" s="31"/>
      <c r="G136" s="32" t="str">
        <f>IF(A136="","",$E$3+SUM($E$9:E136)-SUM($F$9:F136))</f>
        <v/>
      </c>
    </row>
    <row r="137" spans="1:7" x14ac:dyDescent="0.25">
      <c r="A137" s="9"/>
      <c r="B137" s="6" t="str">
        <f t="shared" si="1"/>
        <v/>
      </c>
      <c r="E137" s="31"/>
      <c r="F137" s="31"/>
      <c r="G137" s="32" t="str">
        <f>IF(A137="","",$E$3+SUM($E$9:E137)-SUM($F$9:F137))</f>
        <v/>
      </c>
    </row>
    <row r="138" spans="1:7" x14ac:dyDescent="0.25">
      <c r="A138" s="9"/>
      <c r="B138" s="6" t="str">
        <f t="shared" ref="B138:B201" si="2">IF(A138="","",TEXT(A138,"dddd"))</f>
        <v/>
      </c>
      <c r="E138" s="31"/>
      <c r="F138" s="31"/>
      <c r="G138" s="32" t="str">
        <f>IF(A138="","",$E$3+SUM($E$9:E138)-SUM($F$9:F138))</f>
        <v/>
      </c>
    </row>
    <row r="139" spans="1:7" x14ac:dyDescent="0.25">
      <c r="A139" s="9"/>
      <c r="B139" s="6" t="str">
        <f t="shared" si="2"/>
        <v/>
      </c>
      <c r="E139" s="31"/>
      <c r="F139" s="31"/>
      <c r="G139" s="32" t="str">
        <f>IF(A139="","",$E$3+SUM($E$9:E139)-SUM($F$9:F139))</f>
        <v/>
      </c>
    </row>
    <row r="140" spans="1:7" x14ac:dyDescent="0.25">
      <c r="A140" s="9"/>
      <c r="B140" s="6" t="str">
        <f t="shared" si="2"/>
        <v/>
      </c>
      <c r="E140" s="31"/>
      <c r="F140" s="31"/>
      <c r="G140" s="32" t="str">
        <f>IF(A140="","",$E$3+SUM($E$9:E140)-SUM($F$9:F140))</f>
        <v/>
      </c>
    </row>
    <row r="141" spans="1:7" x14ac:dyDescent="0.25">
      <c r="A141" s="9"/>
      <c r="B141" s="6" t="str">
        <f t="shared" si="2"/>
        <v/>
      </c>
      <c r="E141" s="31"/>
      <c r="F141" s="31"/>
      <c r="G141" s="32" t="str">
        <f>IF(A141="","",$E$3+SUM($E$9:E141)-SUM($F$9:F141))</f>
        <v/>
      </c>
    </row>
    <row r="142" spans="1:7" x14ac:dyDescent="0.25">
      <c r="A142" s="9"/>
      <c r="B142" s="6" t="str">
        <f t="shared" si="2"/>
        <v/>
      </c>
      <c r="E142" s="31"/>
      <c r="F142" s="31"/>
      <c r="G142" s="32" t="str">
        <f>IF(A142="","",$E$3+SUM($E$9:E142)-SUM($F$9:F142))</f>
        <v/>
      </c>
    </row>
    <row r="143" spans="1:7" x14ac:dyDescent="0.25">
      <c r="A143" s="9"/>
      <c r="B143" s="6" t="str">
        <f t="shared" si="2"/>
        <v/>
      </c>
      <c r="E143" s="31"/>
      <c r="F143" s="31"/>
      <c r="G143" s="32" t="str">
        <f>IF(A143="","",$E$3+SUM($E$9:E143)-SUM($F$9:F143))</f>
        <v/>
      </c>
    </row>
    <row r="144" spans="1:7" x14ac:dyDescent="0.25">
      <c r="A144" s="9"/>
      <c r="B144" s="6" t="str">
        <f t="shared" si="2"/>
        <v/>
      </c>
      <c r="E144" s="31"/>
      <c r="F144" s="31"/>
      <c r="G144" s="32" t="str">
        <f>IF(A144="","",$E$3+SUM($E$9:E144)-SUM($F$9:F144))</f>
        <v/>
      </c>
    </row>
    <row r="145" spans="1:7" x14ac:dyDescent="0.25">
      <c r="A145" s="9"/>
      <c r="B145" s="6" t="str">
        <f t="shared" si="2"/>
        <v/>
      </c>
      <c r="E145" s="31"/>
      <c r="F145" s="31"/>
      <c r="G145" s="32" t="str">
        <f>IF(A145="","",$E$3+SUM($E$9:E145)-SUM($F$9:F145))</f>
        <v/>
      </c>
    </row>
    <row r="146" spans="1:7" x14ac:dyDescent="0.25">
      <c r="A146" s="9"/>
      <c r="B146" s="6" t="str">
        <f t="shared" si="2"/>
        <v/>
      </c>
      <c r="E146" s="31"/>
      <c r="F146" s="31"/>
      <c r="G146" s="32" t="str">
        <f>IF(A146="","",$E$3+SUM($E$9:E146)-SUM($F$9:F146))</f>
        <v/>
      </c>
    </row>
    <row r="147" spans="1:7" x14ac:dyDescent="0.25">
      <c r="A147" s="9"/>
      <c r="B147" s="6" t="str">
        <f t="shared" si="2"/>
        <v/>
      </c>
      <c r="E147" s="31"/>
      <c r="F147" s="31"/>
      <c r="G147" s="32" t="str">
        <f>IF(A147="","",$E$3+SUM($E$9:E147)-SUM($F$9:F147))</f>
        <v/>
      </c>
    </row>
    <row r="148" spans="1:7" x14ac:dyDescent="0.25">
      <c r="A148" s="9"/>
      <c r="B148" s="6" t="str">
        <f t="shared" si="2"/>
        <v/>
      </c>
      <c r="E148" s="31"/>
      <c r="F148" s="31"/>
      <c r="G148" s="32" t="str">
        <f>IF(A148="","",$E$3+SUM($E$9:E148)-SUM($F$9:F148))</f>
        <v/>
      </c>
    </row>
    <row r="149" spans="1:7" x14ac:dyDescent="0.25">
      <c r="A149" s="9"/>
      <c r="B149" s="6" t="str">
        <f t="shared" si="2"/>
        <v/>
      </c>
      <c r="E149" s="31"/>
      <c r="F149" s="31"/>
      <c r="G149" s="32" t="str">
        <f>IF(A149="","",$E$3+SUM($E$9:E149)-SUM($F$9:F149))</f>
        <v/>
      </c>
    </row>
    <row r="150" spans="1:7" x14ac:dyDescent="0.25">
      <c r="A150" s="9"/>
      <c r="B150" s="6" t="str">
        <f t="shared" si="2"/>
        <v/>
      </c>
      <c r="E150" s="31"/>
      <c r="F150" s="31"/>
      <c r="G150" s="32" t="str">
        <f>IF(A150="","",$E$3+SUM($E$9:E150)-SUM($F$9:F150))</f>
        <v/>
      </c>
    </row>
    <row r="151" spans="1:7" x14ac:dyDescent="0.25">
      <c r="A151" s="9"/>
      <c r="B151" s="6" t="str">
        <f t="shared" si="2"/>
        <v/>
      </c>
      <c r="E151" s="31"/>
      <c r="F151" s="31"/>
      <c r="G151" s="32" t="str">
        <f>IF(A151="","",$E$3+SUM($E$9:E151)-SUM($F$9:F151))</f>
        <v/>
      </c>
    </row>
    <row r="152" spans="1:7" x14ac:dyDescent="0.25">
      <c r="A152" s="9"/>
      <c r="B152" s="6" t="str">
        <f t="shared" si="2"/>
        <v/>
      </c>
      <c r="E152" s="31"/>
      <c r="F152" s="31"/>
      <c r="G152" s="32" t="str">
        <f>IF(A152="","",$E$3+SUM($E$9:E152)-SUM($F$9:F152))</f>
        <v/>
      </c>
    </row>
    <row r="153" spans="1:7" x14ac:dyDescent="0.25">
      <c r="A153" s="9"/>
      <c r="B153" s="6" t="str">
        <f t="shared" si="2"/>
        <v/>
      </c>
      <c r="E153" s="31"/>
      <c r="F153" s="31"/>
      <c r="G153" s="32" t="str">
        <f>IF(A153="","",$E$3+SUM($E$9:E153)-SUM($F$9:F153))</f>
        <v/>
      </c>
    </row>
    <row r="154" spans="1:7" x14ac:dyDescent="0.25">
      <c r="A154" s="9"/>
      <c r="B154" s="6" t="str">
        <f t="shared" si="2"/>
        <v/>
      </c>
      <c r="E154" s="31"/>
      <c r="F154" s="31"/>
      <c r="G154" s="32" t="str">
        <f>IF(A154="","",$E$3+SUM($E$9:E154)-SUM($F$9:F154))</f>
        <v/>
      </c>
    </row>
    <row r="155" spans="1:7" x14ac:dyDescent="0.25">
      <c r="A155" s="9"/>
      <c r="B155" s="6" t="str">
        <f t="shared" si="2"/>
        <v/>
      </c>
      <c r="E155" s="31"/>
      <c r="F155" s="31"/>
      <c r="G155" s="32" t="str">
        <f>IF(A155="","",$E$3+SUM($E$9:E155)-SUM($F$9:F155))</f>
        <v/>
      </c>
    </row>
    <row r="156" spans="1:7" x14ac:dyDescent="0.25">
      <c r="A156" s="9"/>
      <c r="B156" s="6" t="str">
        <f t="shared" si="2"/>
        <v/>
      </c>
      <c r="E156" s="31"/>
      <c r="F156" s="31"/>
      <c r="G156" s="32" t="str">
        <f>IF(A156="","",$E$3+SUM($E$9:E156)-SUM($F$9:F156))</f>
        <v/>
      </c>
    </row>
    <row r="157" spans="1:7" x14ac:dyDescent="0.25">
      <c r="A157" s="9"/>
      <c r="B157" s="6" t="str">
        <f t="shared" si="2"/>
        <v/>
      </c>
      <c r="E157" s="31"/>
      <c r="F157" s="31"/>
      <c r="G157" s="32" t="str">
        <f>IF(A157="","",$E$3+SUM($E$9:E157)-SUM($F$9:F157))</f>
        <v/>
      </c>
    </row>
    <row r="158" spans="1:7" x14ac:dyDescent="0.25">
      <c r="A158" s="9"/>
      <c r="B158" s="6" t="str">
        <f t="shared" si="2"/>
        <v/>
      </c>
      <c r="E158" s="31"/>
      <c r="F158" s="31"/>
      <c r="G158" s="32" t="str">
        <f>IF(A158="","",$E$3+SUM($E$9:E158)-SUM($F$9:F158))</f>
        <v/>
      </c>
    </row>
    <row r="159" spans="1:7" x14ac:dyDescent="0.25">
      <c r="A159" s="9"/>
      <c r="B159" s="6" t="str">
        <f t="shared" si="2"/>
        <v/>
      </c>
      <c r="E159" s="31"/>
      <c r="F159" s="31"/>
      <c r="G159" s="32" t="str">
        <f>IF(A159="","",$E$3+SUM($E$9:E159)-SUM($F$9:F159))</f>
        <v/>
      </c>
    </row>
    <row r="160" spans="1:7" x14ac:dyDescent="0.25">
      <c r="A160" s="9"/>
      <c r="B160" s="6" t="str">
        <f t="shared" si="2"/>
        <v/>
      </c>
      <c r="E160" s="31"/>
      <c r="F160" s="31"/>
      <c r="G160" s="32" t="str">
        <f>IF(A160="","",$E$3+SUM($E$9:E160)-SUM($F$9:F160))</f>
        <v/>
      </c>
    </row>
    <row r="161" spans="1:7" x14ac:dyDescent="0.25">
      <c r="A161" s="9"/>
      <c r="B161" s="6" t="str">
        <f t="shared" si="2"/>
        <v/>
      </c>
      <c r="E161" s="31"/>
      <c r="F161" s="31"/>
      <c r="G161" s="32" t="str">
        <f>IF(A161="","",$E$3+SUM($E$9:E161)-SUM($F$9:F161))</f>
        <v/>
      </c>
    </row>
    <row r="162" spans="1:7" x14ac:dyDescent="0.25">
      <c r="A162" s="9"/>
      <c r="B162" s="6" t="str">
        <f t="shared" si="2"/>
        <v/>
      </c>
      <c r="E162" s="31"/>
      <c r="F162" s="31"/>
      <c r="G162" s="32" t="str">
        <f>IF(A162="","",$E$3+SUM($E$9:E162)-SUM($F$9:F162))</f>
        <v/>
      </c>
    </row>
    <row r="163" spans="1:7" x14ac:dyDescent="0.25">
      <c r="A163" s="9"/>
      <c r="B163" s="6" t="str">
        <f t="shared" si="2"/>
        <v/>
      </c>
      <c r="E163" s="31"/>
      <c r="F163" s="31"/>
      <c r="G163" s="32" t="str">
        <f>IF(A163="","",$E$3+SUM($E$9:E163)-SUM($F$9:F163))</f>
        <v/>
      </c>
    </row>
    <row r="164" spans="1:7" x14ac:dyDescent="0.25">
      <c r="A164" s="9"/>
      <c r="B164" s="6" t="str">
        <f t="shared" si="2"/>
        <v/>
      </c>
      <c r="E164" s="31"/>
      <c r="F164" s="31"/>
      <c r="G164" s="32" t="str">
        <f>IF(A164="","",$E$3+SUM($E$9:E164)-SUM($F$9:F164))</f>
        <v/>
      </c>
    </row>
    <row r="165" spans="1:7" x14ac:dyDescent="0.25">
      <c r="A165" s="9"/>
      <c r="B165" s="6" t="str">
        <f t="shared" si="2"/>
        <v/>
      </c>
      <c r="E165" s="31"/>
      <c r="F165" s="31"/>
      <c r="G165" s="32" t="str">
        <f>IF(A165="","",$E$3+SUM($E$9:E165)-SUM($F$9:F165))</f>
        <v/>
      </c>
    </row>
    <row r="166" spans="1:7" x14ac:dyDescent="0.25">
      <c r="A166" s="9"/>
      <c r="B166" s="6" t="str">
        <f t="shared" si="2"/>
        <v/>
      </c>
      <c r="E166" s="31"/>
      <c r="F166" s="31"/>
      <c r="G166" s="32" t="str">
        <f>IF(A166="","",$E$3+SUM($E$9:E166)-SUM($F$9:F166))</f>
        <v/>
      </c>
    </row>
    <row r="167" spans="1:7" x14ac:dyDescent="0.25">
      <c r="A167" s="9"/>
      <c r="B167" s="6" t="str">
        <f t="shared" si="2"/>
        <v/>
      </c>
      <c r="E167" s="31"/>
      <c r="F167" s="31"/>
      <c r="G167" s="32" t="str">
        <f>IF(A167="","",$E$3+SUM($E$9:E167)-SUM($F$9:F167))</f>
        <v/>
      </c>
    </row>
    <row r="168" spans="1:7" x14ac:dyDescent="0.25">
      <c r="A168" s="9"/>
      <c r="B168" s="6" t="str">
        <f t="shared" si="2"/>
        <v/>
      </c>
      <c r="E168" s="31"/>
      <c r="F168" s="31"/>
      <c r="G168" s="32" t="str">
        <f>IF(A168="","",$E$3+SUM($E$9:E168)-SUM($F$9:F168))</f>
        <v/>
      </c>
    </row>
    <row r="169" spans="1:7" x14ac:dyDescent="0.25">
      <c r="A169" s="9"/>
      <c r="B169" s="6" t="str">
        <f t="shared" si="2"/>
        <v/>
      </c>
      <c r="E169" s="31"/>
      <c r="F169" s="31"/>
      <c r="G169" s="32" t="str">
        <f>IF(A169="","",$E$3+SUM($E$9:E169)-SUM($F$9:F169))</f>
        <v/>
      </c>
    </row>
    <row r="170" spans="1:7" x14ac:dyDescent="0.25">
      <c r="A170" s="9"/>
      <c r="B170" s="6" t="str">
        <f t="shared" si="2"/>
        <v/>
      </c>
      <c r="E170" s="31"/>
      <c r="F170" s="31"/>
      <c r="G170" s="32" t="str">
        <f>IF(A170="","",$E$3+SUM($E$9:E170)-SUM($F$9:F170))</f>
        <v/>
      </c>
    </row>
    <row r="171" spans="1:7" x14ac:dyDescent="0.25">
      <c r="A171" s="9"/>
      <c r="B171" s="6" t="str">
        <f t="shared" si="2"/>
        <v/>
      </c>
      <c r="E171" s="31"/>
      <c r="F171" s="31"/>
      <c r="G171" s="32" t="str">
        <f>IF(A171="","",$E$3+SUM($E$9:E171)-SUM($F$9:F171))</f>
        <v/>
      </c>
    </row>
    <row r="172" spans="1:7" x14ac:dyDescent="0.25">
      <c r="A172" s="9"/>
      <c r="B172" s="6" t="str">
        <f t="shared" si="2"/>
        <v/>
      </c>
      <c r="E172" s="31"/>
      <c r="F172" s="31"/>
      <c r="G172" s="32" t="str">
        <f>IF(A172="","",$E$3+SUM($E$9:E172)-SUM($F$9:F172))</f>
        <v/>
      </c>
    </row>
    <row r="173" spans="1:7" x14ac:dyDescent="0.25">
      <c r="A173" s="9"/>
      <c r="B173" s="6" t="str">
        <f t="shared" si="2"/>
        <v/>
      </c>
      <c r="E173" s="31"/>
      <c r="F173" s="31"/>
      <c r="G173" s="32" t="str">
        <f>IF(A173="","",$E$3+SUM($E$9:E173)-SUM($F$9:F173))</f>
        <v/>
      </c>
    </row>
    <row r="174" spans="1:7" x14ac:dyDescent="0.25">
      <c r="A174" s="9"/>
      <c r="B174" s="6" t="str">
        <f t="shared" si="2"/>
        <v/>
      </c>
      <c r="E174" s="31"/>
      <c r="F174" s="31"/>
      <c r="G174" s="32" t="str">
        <f>IF(A174="","",$E$3+SUM($E$9:E174)-SUM($F$9:F174))</f>
        <v/>
      </c>
    </row>
    <row r="175" spans="1:7" x14ac:dyDescent="0.25">
      <c r="A175" s="9"/>
      <c r="B175" s="6" t="str">
        <f t="shared" si="2"/>
        <v/>
      </c>
      <c r="E175" s="31"/>
      <c r="F175" s="31"/>
      <c r="G175" s="32" t="str">
        <f>IF(A175="","",$E$3+SUM($E$9:E175)-SUM($F$9:F175))</f>
        <v/>
      </c>
    </row>
    <row r="176" spans="1:7" x14ac:dyDescent="0.25">
      <c r="A176" s="9"/>
      <c r="B176" s="6" t="str">
        <f t="shared" si="2"/>
        <v/>
      </c>
      <c r="E176" s="31"/>
      <c r="F176" s="31"/>
      <c r="G176" s="32" t="str">
        <f>IF(A176="","",$E$3+SUM($E$9:E176)-SUM($F$9:F176))</f>
        <v/>
      </c>
    </row>
    <row r="177" spans="1:7" x14ac:dyDescent="0.25">
      <c r="A177" s="9"/>
      <c r="B177" s="6" t="str">
        <f t="shared" si="2"/>
        <v/>
      </c>
      <c r="E177" s="31"/>
      <c r="F177" s="31"/>
      <c r="G177" s="32" t="str">
        <f>IF(A177="","",$E$3+SUM($E$9:E177)-SUM($F$9:F177))</f>
        <v/>
      </c>
    </row>
    <row r="178" spans="1:7" x14ac:dyDescent="0.25">
      <c r="A178" s="9"/>
      <c r="B178" s="6" t="str">
        <f t="shared" si="2"/>
        <v/>
      </c>
      <c r="E178" s="31"/>
      <c r="F178" s="31"/>
      <c r="G178" s="32" t="str">
        <f>IF(A178="","",$E$3+SUM($E$9:E178)-SUM($F$9:F178))</f>
        <v/>
      </c>
    </row>
    <row r="179" spans="1:7" x14ac:dyDescent="0.25">
      <c r="A179" s="9"/>
      <c r="B179" s="6" t="str">
        <f t="shared" si="2"/>
        <v/>
      </c>
      <c r="E179" s="31"/>
      <c r="F179" s="31"/>
      <c r="G179" s="32" t="str">
        <f>IF(A179="","",$E$3+SUM($E$9:E179)-SUM($F$9:F179))</f>
        <v/>
      </c>
    </row>
    <row r="180" spans="1:7" x14ac:dyDescent="0.25">
      <c r="A180" s="9"/>
      <c r="B180" s="6" t="str">
        <f t="shared" si="2"/>
        <v/>
      </c>
      <c r="E180" s="31"/>
      <c r="F180" s="31"/>
      <c r="G180" s="32" t="str">
        <f>IF(A180="","",$E$3+SUM($E$9:E180)-SUM($F$9:F180))</f>
        <v/>
      </c>
    </row>
    <row r="181" spans="1:7" x14ac:dyDescent="0.25">
      <c r="A181" s="9"/>
      <c r="B181" s="6" t="str">
        <f t="shared" si="2"/>
        <v/>
      </c>
      <c r="E181" s="31"/>
      <c r="F181" s="31"/>
      <c r="G181" s="32" t="str">
        <f>IF(A181="","",$E$3+SUM($E$9:E181)-SUM($F$9:F181))</f>
        <v/>
      </c>
    </row>
    <row r="182" spans="1:7" x14ac:dyDescent="0.25">
      <c r="A182" s="9"/>
      <c r="B182" s="6" t="str">
        <f t="shared" si="2"/>
        <v/>
      </c>
      <c r="E182" s="31"/>
      <c r="F182" s="31"/>
      <c r="G182" s="32" t="str">
        <f>IF(A182="","",$E$3+SUM($E$9:E182)-SUM($F$9:F182))</f>
        <v/>
      </c>
    </row>
    <row r="183" spans="1:7" x14ac:dyDescent="0.25">
      <c r="A183" s="9"/>
      <c r="B183" s="6" t="str">
        <f t="shared" si="2"/>
        <v/>
      </c>
      <c r="E183" s="31"/>
      <c r="F183" s="31"/>
      <c r="G183" s="32" t="str">
        <f>IF(A183="","",$E$3+SUM($E$9:E183)-SUM($F$9:F183))</f>
        <v/>
      </c>
    </row>
    <row r="184" spans="1:7" x14ac:dyDescent="0.25">
      <c r="A184" s="9"/>
      <c r="B184" s="6" t="str">
        <f t="shared" si="2"/>
        <v/>
      </c>
      <c r="E184" s="31"/>
      <c r="F184" s="31"/>
      <c r="G184" s="32" t="str">
        <f>IF(A184="","",$E$3+SUM($E$9:E184)-SUM($F$9:F184))</f>
        <v/>
      </c>
    </row>
    <row r="185" spans="1:7" x14ac:dyDescent="0.25">
      <c r="A185" s="9"/>
      <c r="B185" s="6" t="str">
        <f t="shared" si="2"/>
        <v/>
      </c>
      <c r="E185" s="31"/>
      <c r="F185" s="31"/>
      <c r="G185" s="32" t="str">
        <f>IF(A185="","",$E$3+SUM($E$9:E185)-SUM($F$9:F185))</f>
        <v/>
      </c>
    </row>
    <row r="186" spans="1:7" x14ac:dyDescent="0.25">
      <c r="A186" s="9"/>
      <c r="B186" s="6" t="str">
        <f t="shared" si="2"/>
        <v/>
      </c>
      <c r="E186" s="31"/>
      <c r="F186" s="31"/>
      <c r="G186" s="32" t="str">
        <f>IF(A186="","",$E$3+SUM($E$9:E186)-SUM($F$9:F186))</f>
        <v/>
      </c>
    </row>
    <row r="187" spans="1:7" x14ac:dyDescent="0.25">
      <c r="A187" s="9"/>
      <c r="B187" s="6" t="str">
        <f t="shared" si="2"/>
        <v/>
      </c>
      <c r="E187" s="31"/>
      <c r="F187" s="31"/>
      <c r="G187" s="32" t="str">
        <f>IF(A187="","",$E$3+SUM($E$9:E187)-SUM($F$9:F187))</f>
        <v/>
      </c>
    </row>
    <row r="188" spans="1:7" x14ac:dyDescent="0.25">
      <c r="A188" s="9"/>
      <c r="B188" s="6" t="str">
        <f t="shared" si="2"/>
        <v/>
      </c>
      <c r="E188" s="31"/>
      <c r="F188" s="31"/>
      <c r="G188" s="32" t="str">
        <f>IF(A188="","",$E$3+SUM($E$9:E188)-SUM($F$9:F188))</f>
        <v/>
      </c>
    </row>
    <row r="189" spans="1:7" x14ac:dyDescent="0.25">
      <c r="A189" s="9"/>
      <c r="B189" s="6" t="str">
        <f t="shared" si="2"/>
        <v/>
      </c>
      <c r="E189" s="31"/>
      <c r="F189" s="31"/>
      <c r="G189" s="32" t="str">
        <f>IF(A189="","",$E$3+SUM($E$9:E189)-SUM($F$9:F189))</f>
        <v/>
      </c>
    </row>
    <row r="190" spans="1:7" x14ac:dyDescent="0.25">
      <c r="A190" s="9"/>
      <c r="B190" s="6" t="str">
        <f t="shared" si="2"/>
        <v/>
      </c>
      <c r="E190" s="31"/>
      <c r="F190" s="31"/>
      <c r="G190" s="32" t="str">
        <f>IF(A190="","",$E$3+SUM($E$9:E190)-SUM($F$9:F190))</f>
        <v/>
      </c>
    </row>
    <row r="191" spans="1:7" x14ac:dyDescent="0.25">
      <c r="A191" s="9"/>
      <c r="B191" s="6" t="str">
        <f t="shared" si="2"/>
        <v/>
      </c>
      <c r="E191" s="31"/>
      <c r="F191" s="31"/>
      <c r="G191" s="32" t="str">
        <f>IF(A191="","",$E$3+SUM($E$9:E191)-SUM($F$9:F191))</f>
        <v/>
      </c>
    </row>
    <row r="192" spans="1:7" x14ac:dyDescent="0.25">
      <c r="A192" s="9"/>
      <c r="B192" s="6" t="str">
        <f t="shared" si="2"/>
        <v/>
      </c>
      <c r="E192" s="31"/>
      <c r="F192" s="31"/>
      <c r="G192" s="32" t="str">
        <f>IF(A192="","",$E$3+SUM($E$9:E192)-SUM($F$9:F192))</f>
        <v/>
      </c>
    </row>
    <row r="193" spans="1:7" x14ac:dyDescent="0.25">
      <c r="A193" s="9"/>
      <c r="B193" s="6" t="str">
        <f t="shared" si="2"/>
        <v/>
      </c>
      <c r="E193" s="31"/>
      <c r="F193" s="31"/>
      <c r="G193" s="32" t="str">
        <f>IF(A193="","",$E$3+SUM($E$9:E193)-SUM($F$9:F193))</f>
        <v/>
      </c>
    </row>
    <row r="194" spans="1:7" x14ac:dyDescent="0.25">
      <c r="A194" s="9"/>
      <c r="B194" s="6" t="str">
        <f t="shared" si="2"/>
        <v/>
      </c>
      <c r="E194" s="31"/>
      <c r="F194" s="31"/>
      <c r="G194" s="32" t="str">
        <f>IF(A194="","",$E$3+SUM($E$9:E194)-SUM($F$9:F194))</f>
        <v/>
      </c>
    </row>
    <row r="195" spans="1:7" x14ac:dyDescent="0.25">
      <c r="A195" s="9"/>
      <c r="B195" s="6" t="str">
        <f t="shared" si="2"/>
        <v/>
      </c>
      <c r="E195" s="31"/>
      <c r="F195" s="31"/>
      <c r="G195" s="32" t="str">
        <f>IF(A195="","",$E$3+SUM($E$9:E195)-SUM($F$9:F195))</f>
        <v/>
      </c>
    </row>
    <row r="196" spans="1:7" x14ac:dyDescent="0.25">
      <c r="A196" s="9"/>
      <c r="B196" s="6" t="str">
        <f t="shared" si="2"/>
        <v/>
      </c>
      <c r="E196" s="31"/>
      <c r="F196" s="31"/>
      <c r="G196" s="32" t="str">
        <f>IF(A196="","",$E$3+SUM($E$9:E196)-SUM($F$9:F196))</f>
        <v/>
      </c>
    </row>
    <row r="197" spans="1:7" x14ac:dyDescent="0.25">
      <c r="A197" s="9"/>
      <c r="B197" s="6" t="str">
        <f t="shared" si="2"/>
        <v/>
      </c>
      <c r="E197" s="31"/>
      <c r="F197" s="31"/>
      <c r="G197" s="32" t="str">
        <f>IF(A197="","",$E$3+SUM($E$9:E197)-SUM($F$9:F197))</f>
        <v/>
      </c>
    </row>
    <row r="198" spans="1:7" x14ac:dyDescent="0.25">
      <c r="A198" s="9"/>
      <c r="B198" s="6" t="str">
        <f t="shared" si="2"/>
        <v/>
      </c>
      <c r="E198" s="31"/>
      <c r="F198" s="31"/>
      <c r="G198" s="32" t="str">
        <f>IF(A198="","",$E$3+SUM($E$9:E198)-SUM($F$9:F198))</f>
        <v/>
      </c>
    </row>
    <row r="199" spans="1:7" x14ac:dyDescent="0.25">
      <c r="A199" s="9"/>
      <c r="B199" s="6" t="str">
        <f t="shared" si="2"/>
        <v/>
      </c>
      <c r="E199" s="31"/>
      <c r="F199" s="31"/>
      <c r="G199" s="32" t="str">
        <f>IF(A199="","",$E$3+SUM($E$9:E199)-SUM($F$9:F199))</f>
        <v/>
      </c>
    </row>
    <row r="200" spans="1:7" x14ac:dyDescent="0.25">
      <c r="A200" s="9"/>
      <c r="B200" s="6" t="str">
        <f t="shared" si="2"/>
        <v/>
      </c>
      <c r="E200" s="31"/>
      <c r="F200" s="31"/>
      <c r="G200" s="32" t="str">
        <f>IF(A200="","",$E$3+SUM($E$9:E200)-SUM($F$9:F200))</f>
        <v/>
      </c>
    </row>
    <row r="201" spans="1:7" x14ac:dyDescent="0.25">
      <c r="A201" s="9"/>
      <c r="B201" s="6" t="str">
        <f t="shared" si="2"/>
        <v/>
      </c>
      <c r="E201" s="31"/>
      <c r="F201" s="31"/>
      <c r="G201" s="32" t="str">
        <f>IF(A201="","",$E$3+SUM($E$9:E201)-SUM($F$9:F201))</f>
        <v/>
      </c>
    </row>
    <row r="202" spans="1:7" x14ac:dyDescent="0.25">
      <c r="A202" s="9"/>
      <c r="B202" s="6" t="str">
        <f t="shared" ref="B202:B265" si="3">IF(A202="","",TEXT(A202,"dddd"))</f>
        <v/>
      </c>
      <c r="E202" s="31"/>
      <c r="F202" s="31"/>
      <c r="G202" s="32" t="str">
        <f>IF(A202="","",$E$3+SUM($E$9:E202)-SUM($F$9:F202))</f>
        <v/>
      </c>
    </row>
    <row r="203" spans="1:7" x14ac:dyDescent="0.25">
      <c r="A203" s="9"/>
      <c r="B203" s="6" t="str">
        <f t="shared" si="3"/>
        <v/>
      </c>
      <c r="E203" s="31"/>
      <c r="F203" s="31"/>
      <c r="G203" s="32" t="str">
        <f>IF(A203="","",$E$3+SUM($E$9:E203)-SUM($F$9:F203))</f>
        <v/>
      </c>
    </row>
    <row r="204" spans="1:7" x14ac:dyDescent="0.25">
      <c r="A204" s="9"/>
      <c r="B204" s="6" t="str">
        <f t="shared" si="3"/>
        <v/>
      </c>
      <c r="E204" s="31"/>
      <c r="F204" s="31"/>
      <c r="G204" s="32" t="str">
        <f>IF(A204="","",$E$3+SUM($E$9:E204)-SUM($F$9:F204))</f>
        <v/>
      </c>
    </row>
    <row r="205" spans="1:7" x14ac:dyDescent="0.25">
      <c r="A205" s="9"/>
      <c r="B205" s="6" t="str">
        <f t="shared" si="3"/>
        <v/>
      </c>
      <c r="E205" s="31"/>
      <c r="F205" s="31"/>
      <c r="G205" s="32" t="str">
        <f>IF(A205="","",$E$3+SUM($E$9:E205)-SUM($F$9:F205))</f>
        <v/>
      </c>
    </row>
    <row r="206" spans="1:7" x14ac:dyDescent="0.25">
      <c r="A206" s="9"/>
      <c r="B206" s="6" t="str">
        <f t="shared" si="3"/>
        <v/>
      </c>
      <c r="E206" s="31"/>
      <c r="F206" s="31"/>
      <c r="G206" s="32" t="str">
        <f>IF(A206="","",$E$3+SUM($E$9:E206)-SUM($F$9:F206))</f>
        <v/>
      </c>
    </row>
    <row r="207" spans="1:7" x14ac:dyDescent="0.25">
      <c r="A207" s="9"/>
      <c r="B207" s="6" t="str">
        <f t="shared" si="3"/>
        <v/>
      </c>
      <c r="E207" s="31"/>
      <c r="F207" s="31"/>
      <c r="G207" s="32" t="str">
        <f>IF(A207="","",$E$3+SUM($E$9:E207)-SUM($F$9:F207))</f>
        <v/>
      </c>
    </row>
    <row r="208" spans="1:7" x14ac:dyDescent="0.25">
      <c r="A208" s="9"/>
      <c r="B208" s="6" t="str">
        <f t="shared" si="3"/>
        <v/>
      </c>
      <c r="E208" s="31"/>
      <c r="F208" s="31"/>
      <c r="G208" s="32" t="str">
        <f>IF(A208="","",$E$3+SUM($E$9:E208)-SUM($F$9:F208))</f>
        <v/>
      </c>
    </row>
    <row r="209" spans="1:7" x14ac:dyDescent="0.25">
      <c r="A209" s="9"/>
      <c r="B209" s="6" t="str">
        <f t="shared" si="3"/>
        <v/>
      </c>
      <c r="E209" s="31"/>
      <c r="F209" s="31"/>
      <c r="G209" s="32" t="str">
        <f>IF(A209="","",$E$3+SUM($E$9:E209)-SUM($F$9:F209))</f>
        <v/>
      </c>
    </row>
    <row r="210" spans="1:7" x14ac:dyDescent="0.25">
      <c r="A210" s="9"/>
      <c r="B210" s="6" t="str">
        <f t="shared" si="3"/>
        <v/>
      </c>
      <c r="E210" s="31"/>
      <c r="F210" s="31"/>
      <c r="G210" s="32" t="str">
        <f>IF(A210="","",$E$3+SUM($E$9:E210)-SUM($F$9:F210))</f>
        <v/>
      </c>
    </row>
    <row r="211" spans="1:7" x14ac:dyDescent="0.25">
      <c r="A211" s="9"/>
      <c r="B211" s="6" t="str">
        <f t="shared" si="3"/>
        <v/>
      </c>
      <c r="E211" s="31"/>
      <c r="F211" s="31"/>
      <c r="G211" s="32" t="str">
        <f>IF(A211="","",$E$3+SUM($E$9:E211)-SUM($F$9:F211))</f>
        <v/>
      </c>
    </row>
    <row r="212" spans="1:7" x14ac:dyDescent="0.25">
      <c r="A212" s="9"/>
      <c r="B212" s="6" t="str">
        <f t="shared" si="3"/>
        <v/>
      </c>
      <c r="E212" s="31"/>
      <c r="F212" s="31"/>
      <c r="G212" s="32" t="str">
        <f>IF(A212="","",$E$3+SUM($E$9:E212)-SUM($F$9:F212))</f>
        <v/>
      </c>
    </row>
    <row r="213" spans="1:7" x14ac:dyDescent="0.25">
      <c r="A213" s="9"/>
      <c r="B213" s="6" t="str">
        <f t="shared" si="3"/>
        <v/>
      </c>
      <c r="E213" s="31"/>
      <c r="F213" s="31"/>
      <c r="G213" s="32" t="str">
        <f>IF(A213="","",$E$3+SUM($E$9:E213)-SUM($F$9:F213))</f>
        <v/>
      </c>
    </row>
    <row r="214" spans="1:7" x14ac:dyDescent="0.25">
      <c r="A214" s="9"/>
      <c r="B214" s="6" t="str">
        <f t="shared" si="3"/>
        <v/>
      </c>
      <c r="E214" s="31"/>
      <c r="F214" s="31"/>
      <c r="G214" s="32" t="str">
        <f>IF(A214="","",$E$3+SUM($E$9:E214)-SUM($F$9:F214))</f>
        <v/>
      </c>
    </row>
    <row r="215" spans="1:7" x14ac:dyDescent="0.25">
      <c r="A215" s="9"/>
      <c r="B215" s="6" t="str">
        <f t="shared" si="3"/>
        <v/>
      </c>
      <c r="E215" s="31"/>
      <c r="F215" s="31"/>
      <c r="G215" s="32" t="str">
        <f>IF(A215="","",$E$3+SUM($E$9:E215)-SUM($F$9:F215))</f>
        <v/>
      </c>
    </row>
    <row r="216" spans="1:7" x14ac:dyDescent="0.25">
      <c r="A216" s="9"/>
      <c r="B216" s="6" t="str">
        <f t="shared" si="3"/>
        <v/>
      </c>
      <c r="E216" s="31"/>
      <c r="F216" s="31"/>
      <c r="G216" s="32" t="str">
        <f>IF(A216="","",$E$3+SUM($E$9:E216)-SUM($F$9:F216))</f>
        <v/>
      </c>
    </row>
    <row r="217" spans="1:7" x14ac:dyDescent="0.25">
      <c r="A217" s="9"/>
      <c r="B217" s="6" t="str">
        <f t="shared" si="3"/>
        <v/>
      </c>
      <c r="E217" s="31"/>
      <c r="F217" s="31"/>
      <c r="G217" s="32" t="str">
        <f>IF(A217="","",$E$3+SUM($E$9:E217)-SUM($F$9:F217))</f>
        <v/>
      </c>
    </row>
    <row r="218" spans="1:7" x14ac:dyDescent="0.25">
      <c r="A218" s="9"/>
      <c r="B218" s="6" t="str">
        <f t="shared" si="3"/>
        <v/>
      </c>
      <c r="E218" s="31"/>
      <c r="F218" s="31"/>
      <c r="G218" s="32" t="str">
        <f>IF(A218="","",$E$3+SUM($E$9:E218)-SUM($F$9:F218))</f>
        <v/>
      </c>
    </row>
    <row r="219" spans="1:7" x14ac:dyDescent="0.25">
      <c r="A219" s="9"/>
      <c r="B219" s="6" t="str">
        <f t="shared" si="3"/>
        <v/>
      </c>
      <c r="E219" s="31"/>
      <c r="F219" s="31"/>
      <c r="G219" s="32" t="str">
        <f>IF(A219="","",$E$3+SUM($E$9:E219)-SUM($F$9:F219))</f>
        <v/>
      </c>
    </row>
    <row r="220" spans="1:7" x14ac:dyDescent="0.25">
      <c r="A220" s="9"/>
      <c r="B220" s="6" t="str">
        <f t="shared" si="3"/>
        <v/>
      </c>
      <c r="E220" s="31"/>
      <c r="F220" s="31"/>
      <c r="G220" s="32" t="str">
        <f>IF(A220="","",$E$3+SUM($E$9:E220)-SUM($F$9:F220))</f>
        <v/>
      </c>
    </row>
    <row r="221" spans="1:7" x14ac:dyDescent="0.25">
      <c r="A221" s="9"/>
      <c r="B221" s="6" t="str">
        <f t="shared" si="3"/>
        <v/>
      </c>
      <c r="E221" s="31"/>
      <c r="F221" s="31"/>
      <c r="G221" s="32" t="str">
        <f>IF(A221="","",$E$3+SUM($E$9:E221)-SUM($F$9:F221))</f>
        <v/>
      </c>
    </row>
    <row r="222" spans="1:7" x14ac:dyDescent="0.25">
      <c r="A222" s="9"/>
      <c r="B222" s="6" t="str">
        <f t="shared" si="3"/>
        <v/>
      </c>
      <c r="E222" s="31"/>
      <c r="F222" s="31"/>
      <c r="G222" s="32" t="str">
        <f>IF(A222="","",$E$3+SUM($E$9:E222)-SUM($F$9:F222))</f>
        <v/>
      </c>
    </row>
    <row r="223" spans="1:7" x14ac:dyDescent="0.25">
      <c r="A223" s="9"/>
      <c r="B223" s="6" t="str">
        <f t="shared" si="3"/>
        <v/>
      </c>
      <c r="E223" s="31"/>
      <c r="F223" s="31"/>
      <c r="G223" s="32" t="str">
        <f>IF(A223="","",$E$3+SUM($E$9:E223)-SUM($F$9:F223))</f>
        <v/>
      </c>
    </row>
    <row r="224" spans="1:7" x14ac:dyDescent="0.25">
      <c r="A224" s="9"/>
      <c r="B224" s="6" t="str">
        <f t="shared" si="3"/>
        <v/>
      </c>
      <c r="E224" s="31"/>
      <c r="F224" s="31"/>
      <c r="G224" s="32" t="str">
        <f>IF(A224="","",$E$3+SUM($E$9:E224)-SUM($F$9:F224))</f>
        <v/>
      </c>
    </row>
    <row r="225" spans="1:7" x14ac:dyDescent="0.25">
      <c r="A225" s="9"/>
      <c r="B225" s="6" t="str">
        <f t="shared" si="3"/>
        <v/>
      </c>
      <c r="E225" s="31"/>
      <c r="F225" s="31"/>
      <c r="G225" s="32" t="str">
        <f>IF(A225="","",$E$3+SUM($E$9:E225)-SUM($F$9:F225))</f>
        <v/>
      </c>
    </row>
    <row r="226" spans="1:7" x14ac:dyDescent="0.25">
      <c r="A226" s="9"/>
      <c r="B226" s="6" t="str">
        <f t="shared" si="3"/>
        <v/>
      </c>
      <c r="E226" s="31"/>
      <c r="F226" s="31"/>
      <c r="G226" s="32" t="str">
        <f>IF(A226="","",$E$3+SUM($E$9:E226)-SUM($F$9:F226))</f>
        <v/>
      </c>
    </row>
    <row r="227" spans="1:7" x14ac:dyDescent="0.25">
      <c r="A227" s="9"/>
      <c r="B227" s="6" t="str">
        <f t="shared" si="3"/>
        <v/>
      </c>
      <c r="E227" s="31"/>
      <c r="F227" s="31"/>
      <c r="G227" s="32" t="str">
        <f>IF(A227="","",$E$3+SUM($E$9:E227)-SUM($F$9:F227))</f>
        <v/>
      </c>
    </row>
    <row r="228" spans="1:7" x14ac:dyDescent="0.25">
      <c r="A228" s="9"/>
      <c r="B228" s="6" t="str">
        <f t="shared" si="3"/>
        <v/>
      </c>
      <c r="E228" s="31"/>
      <c r="F228" s="31"/>
      <c r="G228" s="32" t="str">
        <f>IF(A228="","",$E$3+SUM($E$9:E228)-SUM($F$9:F228))</f>
        <v/>
      </c>
    </row>
    <row r="229" spans="1:7" x14ac:dyDescent="0.25">
      <c r="A229" s="9"/>
      <c r="B229" s="6" t="str">
        <f t="shared" si="3"/>
        <v/>
      </c>
      <c r="E229" s="31"/>
      <c r="F229" s="31"/>
      <c r="G229" s="32" t="str">
        <f>IF(A229="","",$E$3+SUM($E$9:E229)-SUM($F$9:F229))</f>
        <v/>
      </c>
    </row>
    <row r="230" spans="1:7" x14ac:dyDescent="0.25">
      <c r="A230" s="9"/>
      <c r="B230" s="6" t="str">
        <f t="shared" si="3"/>
        <v/>
      </c>
      <c r="E230" s="31"/>
      <c r="F230" s="31"/>
      <c r="G230" s="32" t="str">
        <f>IF(A230="","",$E$3+SUM($E$9:E230)-SUM($F$9:F230))</f>
        <v/>
      </c>
    </row>
    <row r="231" spans="1:7" x14ac:dyDescent="0.25">
      <c r="A231" s="9"/>
      <c r="B231" s="6" t="str">
        <f t="shared" si="3"/>
        <v/>
      </c>
      <c r="E231" s="31"/>
      <c r="F231" s="31"/>
      <c r="G231" s="32" t="str">
        <f>IF(A231="","",$E$3+SUM($E$9:E231)-SUM($F$9:F231))</f>
        <v/>
      </c>
    </row>
    <row r="232" spans="1:7" x14ac:dyDescent="0.25">
      <c r="A232" s="9"/>
      <c r="B232" s="6" t="str">
        <f t="shared" si="3"/>
        <v/>
      </c>
      <c r="E232" s="31"/>
      <c r="F232" s="31"/>
      <c r="G232" s="32" t="str">
        <f>IF(A232="","",$E$3+SUM($E$9:E232)-SUM($F$9:F232))</f>
        <v/>
      </c>
    </row>
    <row r="233" spans="1:7" x14ac:dyDescent="0.25">
      <c r="A233" s="9"/>
      <c r="B233" s="6" t="str">
        <f t="shared" si="3"/>
        <v/>
      </c>
      <c r="E233" s="31"/>
      <c r="F233" s="31"/>
      <c r="G233" s="32" t="str">
        <f>IF(A233="","",$E$3+SUM($E$9:E233)-SUM($F$9:F233))</f>
        <v/>
      </c>
    </row>
    <row r="234" spans="1:7" x14ac:dyDescent="0.25">
      <c r="A234" s="9"/>
      <c r="B234" s="6" t="str">
        <f t="shared" si="3"/>
        <v/>
      </c>
      <c r="E234" s="31"/>
      <c r="F234" s="31"/>
      <c r="G234" s="32" t="str">
        <f>IF(A234="","",$E$3+SUM($E$9:E234)-SUM($F$9:F234))</f>
        <v/>
      </c>
    </row>
    <row r="235" spans="1:7" x14ac:dyDescent="0.25">
      <c r="A235" s="9"/>
      <c r="B235" s="6" t="str">
        <f t="shared" si="3"/>
        <v/>
      </c>
      <c r="E235" s="31"/>
      <c r="F235" s="31"/>
      <c r="G235" s="32" t="str">
        <f>IF(A235="","",$E$3+SUM($E$9:E235)-SUM($F$9:F235))</f>
        <v/>
      </c>
    </row>
    <row r="236" spans="1:7" x14ac:dyDescent="0.25">
      <c r="A236" s="9"/>
      <c r="B236" s="6" t="str">
        <f t="shared" si="3"/>
        <v/>
      </c>
      <c r="E236" s="31"/>
      <c r="F236" s="31"/>
      <c r="G236" s="32" t="str">
        <f>IF(A236="","",$E$3+SUM($E$9:E236)-SUM($F$9:F236))</f>
        <v/>
      </c>
    </row>
    <row r="237" spans="1:7" x14ac:dyDescent="0.25">
      <c r="A237" s="9"/>
      <c r="B237" s="6" t="str">
        <f t="shared" si="3"/>
        <v/>
      </c>
      <c r="E237" s="31"/>
      <c r="F237" s="31"/>
      <c r="G237" s="32" t="str">
        <f>IF(A237="","",$E$3+SUM($E$9:E237)-SUM($F$9:F237))</f>
        <v/>
      </c>
    </row>
    <row r="238" spans="1:7" x14ac:dyDescent="0.25">
      <c r="A238" s="9"/>
      <c r="B238" s="6" t="str">
        <f t="shared" si="3"/>
        <v/>
      </c>
      <c r="E238" s="31"/>
      <c r="F238" s="31"/>
      <c r="G238" s="32" t="str">
        <f>IF(A238="","",$E$3+SUM($E$9:E238)-SUM($F$9:F238))</f>
        <v/>
      </c>
    </row>
    <row r="239" spans="1:7" x14ac:dyDescent="0.25">
      <c r="A239" s="9"/>
      <c r="B239" s="6" t="str">
        <f t="shared" si="3"/>
        <v/>
      </c>
      <c r="E239" s="31"/>
      <c r="F239" s="31"/>
      <c r="G239" s="32" t="str">
        <f>IF(A239="","",$E$3+SUM($E$9:E239)-SUM($F$9:F239))</f>
        <v/>
      </c>
    </row>
    <row r="240" spans="1:7" x14ac:dyDescent="0.25">
      <c r="A240" s="9"/>
      <c r="B240" s="6" t="str">
        <f t="shared" si="3"/>
        <v/>
      </c>
      <c r="E240" s="31"/>
      <c r="F240" s="31"/>
      <c r="G240" s="32" t="str">
        <f>IF(A240="","",$E$3+SUM($E$9:E240)-SUM($F$9:F240))</f>
        <v/>
      </c>
    </row>
    <row r="241" spans="1:7" x14ac:dyDescent="0.25">
      <c r="A241" s="9"/>
      <c r="B241" s="6" t="str">
        <f t="shared" si="3"/>
        <v/>
      </c>
      <c r="E241" s="31"/>
      <c r="F241" s="31"/>
      <c r="G241" s="32" t="str">
        <f>IF(A241="","",$E$3+SUM($E$9:E241)-SUM($F$9:F241))</f>
        <v/>
      </c>
    </row>
    <row r="242" spans="1:7" x14ac:dyDescent="0.25">
      <c r="A242" s="9"/>
      <c r="B242" s="6" t="str">
        <f t="shared" si="3"/>
        <v/>
      </c>
      <c r="E242" s="31"/>
      <c r="F242" s="31"/>
      <c r="G242" s="32" t="str">
        <f>IF(A242="","",$E$3+SUM($E$9:E242)-SUM($F$9:F242))</f>
        <v/>
      </c>
    </row>
    <row r="243" spans="1:7" x14ac:dyDescent="0.25">
      <c r="A243" s="9"/>
      <c r="B243" s="6" t="str">
        <f t="shared" si="3"/>
        <v/>
      </c>
      <c r="E243" s="31"/>
      <c r="F243" s="31"/>
      <c r="G243" s="32" t="str">
        <f>IF(A243="","",$E$3+SUM($E$9:E243)-SUM($F$9:F243))</f>
        <v/>
      </c>
    </row>
    <row r="244" spans="1:7" x14ac:dyDescent="0.25">
      <c r="A244" s="9"/>
      <c r="B244" s="6" t="str">
        <f t="shared" si="3"/>
        <v/>
      </c>
      <c r="E244" s="31"/>
      <c r="F244" s="31"/>
      <c r="G244" s="32" t="str">
        <f>IF(A244="","",$E$3+SUM($E$9:E244)-SUM($F$9:F244))</f>
        <v/>
      </c>
    </row>
    <row r="245" spans="1:7" x14ac:dyDescent="0.25">
      <c r="A245" s="9"/>
      <c r="B245" s="6" t="str">
        <f t="shared" si="3"/>
        <v/>
      </c>
      <c r="E245" s="31"/>
      <c r="F245" s="31"/>
      <c r="G245" s="32" t="str">
        <f>IF(A245="","",$E$3+SUM($E$9:E245)-SUM($F$9:F245))</f>
        <v/>
      </c>
    </row>
    <row r="246" spans="1:7" x14ac:dyDescent="0.25">
      <c r="A246" s="9"/>
      <c r="B246" s="6" t="str">
        <f t="shared" si="3"/>
        <v/>
      </c>
      <c r="E246" s="31"/>
      <c r="F246" s="31"/>
      <c r="G246" s="32" t="str">
        <f>IF(A246="","",$E$3+SUM($E$9:E246)-SUM($F$9:F246))</f>
        <v/>
      </c>
    </row>
    <row r="247" spans="1:7" x14ac:dyDescent="0.25">
      <c r="A247" s="9"/>
      <c r="B247" s="6" t="str">
        <f t="shared" si="3"/>
        <v/>
      </c>
      <c r="E247" s="31"/>
      <c r="F247" s="31"/>
      <c r="G247" s="32" t="str">
        <f>IF(A247="","",$E$3+SUM($E$9:E247)-SUM($F$9:F247))</f>
        <v/>
      </c>
    </row>
    <row r="248" spans="1:7" x14ac:dyDescent="0.25">
      <c r="A248" s="9"/>
      <c r="B248" s="6" t="str">
        <f t="shared" si="3"/>
        <v/>
      </c>
      <c r="E248" s="31"/>
      <c r="F248" s="31"/>
      <c r="G248" s="32" t="str">
        <f>IF(A248="","",$E$3+SUM($E$9:E248)-SUM($F$9:F248))</f>
        <v/>
      </c>
    </row>
    <row r="249" spans="1:7" x14ac:dyDescent="0.25">
      <c r="A249" s="9"/>
      <c r="B249" s="6" t="str">
        <f t="shared" si="3"/>
        <v/>
      </c>
      <c r="E249" s="31"/>
      <c r="F249" s="31"/>
      <c r="G249" s="32" t="str">
        <f>IF(A249="","",$E$3+SUM($E$9:E249)-SUM($F$9:F249))</f>
        <v/>
      </c>
    </row>
    <row r="250" spans="1:7" x14ac:dyDescent="0.25">
      <c r="A250" s="9"/>
      <c r="B250" s="6" t="str">
        <f t="shared" si="3"/>
        <v/>
      </c>
      <c r="E250" s="31"/>
      <c r="F250" s="31"/>
      <c r="G250" s="32" t="str">
        <f>IF(A250="","",$E$3+SUM($E$9:E250)-SUM($F$9:F250))</f>
        <v/>
      </c>
    </row>
    <row r="251" spans="1:7" x14ac:dyDescent="0.25">
      <c r="A251" s="9"/>
      <c r="B251" s="6" t="str">
        <f t="shared" si="3"/>
        <v/>
      </c>
      <c r="E251" s="31"/>
      <c r="F251" s="31"/>
      <c r="G251" s="32" t="str">
        <f>IF(A251="","",$E$3+SUM($E$9:E251)-SUM($F$9:F251))</f>
        <v/>
      </c>
    </row>
    <row r="252" spans="1:7" x14ac:dyDescent="0.25">
      <c r="A252" s="9"/>
      <c r="B252" s="6" t="str">
        <f t="shared" si="3"/>
        <v/>
      </c>
      <c r="E252" s="31"/>
      <c r="F252" s="31"/>
      <c r="G252" s="32" t="str">
        <f>IF(A252="","",$E$3+SUM($E$9:E252)-SUM($F$9:F252))</f>
        <v/>
      </c>
    </row>
    <row r="253" spans="1:7" x14ac:dyDescent="0.25">
      <c r="A253" s="9"/>
      <c r="B253" s="6" t="str">
        <f t="shared" si="3"/>
        <v/>
      </c>
      <c r="E253" s="31"/>
      <c r="F253" s="31"/>
      <c r="G253" s="32" t="str">
        <f>IF(A253="","",$E$3+SUM($E$9:E253)-SUM($F$9:F253))</f>
        <v/>
      </c>
    </row>
    <row r="254" spans="1:7" x14ac:dyDescent="0.25">
      <c r="A254" s="9"/>
      <c r="B254" s="6" t="str">
        <f t="shared" si="3"/>
        <v/>
      </c>
      <c r="E254" s="31"/>
      <c r="F254" s="31"/>
      <c r="G254" s="32" t="str">
        <f>IF(A254="","",$E$3+SUM($E$9:E254)-SUM($F$9:F254))</f>
        <v/>
      </c>
    </row>
    <row r="255" spans="1:7" x14ac:dyDescent="0.25">
      <c r="A255" s="9"/>
      <c r="B255" s="6" t="str">
        <f t="shared" si="3"/>
        <v/>
      </c>
      <c r="E255" s="31"/>
      <c r="F255" s="31"/>
      <c r="G255" s="32" t="str">
        <f>IF(A255="","",$E$3+SUM($E$9:E255)-SUM($F$9:F255))</f>
        <v/>
      </c>
    </row>
    <row r="256" spans="1:7" x14ac:dyDescent="0.25">
      <c r="A256" s="9"/>
      <c r="B256" s="6" t="str">
        <f t="shared" si="3"/>
        <v/>
      </c>
      <c r="E256" s="31"/>
      <c r="F256" s="31"/>
      <c r="G256" s="32" t="str">
        <f>IF(A256="","",$E$3+SUM($E$9:E256)-SUM($F$9:F256))</f>
        <v/>
      </c>
    </row>
    <row r="257" spans="1:7" x14ac:dyDescent="0.25">
      <c r="A257" s="9"/>
      <c r="B257" s="6" t="str">
        <f t="shared" si="3"/>
        <v/>
      </c>
      <c r="E257" s="31"/>
      <c r="F257" s="31"/>
      <c r="G257" s="32" t="str">
        <f>IF(A257="","",$E$3+SUM($E$9:E257)-SUM($F$9:F257))</f>
        <v/>
      </c>
    </row>
    <row r="258" spans="1:7" x14ac:dyDescent="0.25">
      <c r="A258" s="9"/>
      <c r="B258" s="6" t="str">
        <f t="shared" si="3"/>
        <v/>
      </c>
      <c r="E258" s="31"/>
      <c r="F258" s="31"/>
      <c r="G258" s="32" t="str">
        <f>IF(A258="","",$E$3+SUM($E$9:E258)-SUM($F$9:F258))</f>
        <v/>
      </c>
    </row>
    <row r="259" spans="1:7" x14ac:dyDescent="0.25">
      <c r="A259" s="9"/>
      <c r="B259" s="6" t="str">
        <f t="shared" si="3"/>
        <v/>
      </c>
      <c r="E259" s="31"/>
      <c r="F259" s="31"/>
      <c r="G259" s="32" t="str">
        <f>IF(A259="","",$E$3+SUM($E$9:E259)-SUM($F$9:F259))</f>
        <v/>
      </c>
    </row>
    <row r="260" spans="1:7" x14ac:dyDescent="0.25">
      <c r="A260" s="9"/>
      <c r="B260" s="6" t="str">
        <f t="shared" si="3"/>
        <v/>
      </c>
      <c r="E260" s="31"/>
      <c r="F260" s="31"/>
      <c r="G260" s="32" t="str">
        <f>IF(A260="","",$E$3+SUM($E$9:E260)-SUM($F$9:F260))</f>
        <v/>
      </c>
    </row>
    <row r="261" spans="1:7" x14ac:dyDescent="0.25">
      <c r="A261" s="9"/>
      <c r="B261" s="6" t="str">
        <f t="shared" si="3"/>
        <v/>
      </c>
      <c r="E261" s="31"/>
      <c r="F261" s="31"/>
      <c r="G261" s="32" t="str">
        <f>IF(A261="","",$E$3+SUM($E$9:E261)-SUM($F$9:F261))</f>
        <v/>
      </c>
    </row>
    <row r="262" spans="1:7" x14ac:dyDescent="0.25">
      <c r="A262" s="9"/>
      <c r="B262" s="6" t="str">
        <f t="shared" si="3"/>
        <v/>
      </c>
      <c r="E262" s="31"/>
      <c r="F262" s="31"/>
      <c r="G262" s="32" t="str">
        <f>IF(A262="","",$E$3+SUM($E$9:E262)-SUM($F$9:F262))</f>
        <v/>
      </c>
    </row>
    <row r="263" spans="1:7" x14ac:dyDescent="0.25">
      <c r="A263" s="9"/>
      <c r="B263" s="6" t="str">
        <f t="shared" si="3"/>
        <v/>
      </c>
      <c r="E263" s="31"/>
      <c r="F263" s="31"/>
      <c r="G263" s="32" t="str">
        <f>IF(A263="","",$E$3+SUM($E$9:E263)-SUM($F$9:F263))</f>
        <v/>
      </c>
    </row>
    <row r="264" spans="1:7" x14ac:dyDescent="0.25">
      <c r="A264" s="9"/>
      <c r="B264" s="6" t="str">
        <f t="shared" si="3"/>
        <v/>
      </c>
      <c r="E264" s="31"/>
      <c r="F264" s="31"/>
      <c r="G264" s="32" t="str">
        <f>IF(A264="","",$E$3+SUM($E$9:E264)-SUM($F$9:F264))</f>
        <v/>
      </c>
    </row>
    <row r="265" spans="1:7" x14ac:dyDescent="0.25">
      <c r="A265" s="9"/>
      <c r="B265" s="6" t="str">
        <f t="shared" si="3"/>
        <v/>
      </c>
      <c r="E265" s="31"/>
      <c r="F265" s="31"/>
      <c r="G265" s="32" t="str">
        <f>IF(A265="","",$E$3+SUM($E$9:E265)-SUM($F$9:F265))</f>
        <v/>
      </c>
    </row>
    <row r="266" spans="1:7" x14ac:dyDescent="0.25">
      <c r="A266" s="9"/>
      <c r="B266" s="6" t="str">
        <f t="shared" ref="B266:B329" si="4">IF(A266="","",TEXT(A266,"dddd"))</f>
        <v/>
      </c>
      <c r="E266" s="31"/>
      <c r="F266" s="31"/>
      <c r="G266" s="32" t="str">
        <f>IF(A266="","",$E$3+SUM($E$9:E266)-SUM($F$9:F266))</f>
        <v/>
      </c>
    </row>
    <row r="267" spans="1:7" x14ac:dyDescent="0.25">
      <c r="A267" s="9"/>
      <c r="B267" s="6" t="str">
        <f t="shared" si="4"/>
        <v/>
      </c>
      <c r="E267" s="31"/>
      <c r="F267" s="31"/>
      <c r="G267" s="32" t="str">
        <f>IF(A267="","",$E$3+SUM($E$9:E267)-SUM($F$9:F267))</f>
        <v/>
      </c>
    </row>
    <row r="268" spans="1:7" x14ac:dyDescent="0.25">
      <c r="A268" s="9"/>
      <c r="B268" s="6" t="str">
        <f t="shared" si="4"/>
        <v/>
      </c>
      <c r="E268" s="31"/>
      <c r="F268" s="31"/>
      <c r="G268" s="32" t="str">
        <f>IF(A268="","",$E$3+SUM($E$9:E268)-SUM($F$9:F268))</f>
        <v/>
      </c>
    </row>
    <row r="269" spans="1:7" x14ac:dyDescent="0.25">
      <c r="A269" s="9"/>
      <c r="B269" s="6" t="str">
        <f t="shared" si="4"/>
        <v/>
      </c>
      <c r="E269" s="31"/>
      <c r="F269" s="31"/>
      <c r="G269" s="32" t="str">
        <f>IF(A269="","",$E$3+SUM($E$9:E269)-SUM($F$9:F269))</f>
        <v/>
      </c>
    </row>
    <row r="270" spans="1:7" x14ac:dyDescent="0.25">
      <c r="A270" s="9"/>
      <c r="B270" s="6" t="str">
        <f t="shared" si="4"/>
        <v/>
      </c>
      <c r="E270" s="31"/>
      <c r="F270" s="31"/>
      <c r="G270" s="32" t="str">
        <f>IF(A270="","",$E$3+SUM($E$9:E270)-SUM($F$9:F270))</f>
        <v/>
      </c>
    </row>
    <row r="271" spans="1:7" x14ac:dyDescent="0.25">
      <c r="A271" s="9"/>
      <c r="B271" s="6" t="str">
        <f t="shared" si="4"/>
        <v/>
      </c>
      <c r="E271" s="31"/>
      <c r="F271" s="31"/>
      <c r="G271" s="32" t="str">
        <f>IF(A271="","",$E$3+SUM($E$9:E271)-SUM($F$9:F271))</f>
        <v/>
      </c>
    </row>
    <row r="272" spans="1:7" x14ac:dyDescent="0.25">
      <c r="A272" s="9"/>
      <c r="B272" s="6" t="str">
        <f t="shared" si="4"/>
        <v/>
      </c>
      <c r="E272" s="31"/>
      <c r="F272" s="31"/>
      <c r="G272" s="32" t="str">
        <f>IF(A272="","",$E$3+SUM($E$9:E272)-SUM($F$9:F272))</f>
        <v/>
      </c>
    </row>
    <row r="273" spans="1:7" x14ac:dyDescent="0.25">
      <c r="A273" s="9"/>
      <c r="B273" s="6" t="str">
        <f t="shared" si="4"/>
        <v/>
      </c>
      <c r="E273" s="31"/>
      <c r="F273" s="31"/>
      <c r="G273" s="32" t="str">
        <f>IF(A273="","",$E$3+SUM($E$9:E273)-SUM($F$9:F273))</f>
        <v/>
      </c>
    </row>
    <row r="274" spans="1:7" x14ac:dyDescent="0.25">
      <c r="A274" s="9"/>
      <c r="B274" s="6" t="str">
        <f t="shared" si="4"/>
        <v/>
      </c>
      <c r="E274" s="31"/>
      <c r="F274" s="31"/>
      <c r="G274" s="32" t="str">
        <f>IF(A274="","",$E$3+SUM($E$9:E274)-SUM($F$9:F274))</f>
        <v/>
      </c>
    </row>
    <row r="275" spans="1:7" x14ac:dyDescent="0.25">
      <c r="A275" s="9"/>
      <c r="B275" s="6" t="str">
        <f t="shared" si="4"/>
        <v/>
      </c>
      <c r="E275" s="31"/>
      <c r="F275" s="31"/>
      <c r="G275" s="32" t="str">
        <f>IF(A275="","",$E$3+SUM($E$9:E275)-SUM($F$9:F275))</f>
        <v/>
      </c>
    </row>
    <row r="276" spans="1:7" x14ac:dyDescent="0.25">
      <c r="A276" s="9"/>
      <c r="B276" s="6" t="str">
        <f t="shared" si="4"/>
        <v/>
      </c>
      <c r="E276" s="31"/>
      <c r="F276" s="31"/>
      <c r="G276" s="32" t="str">
        <f>IF(A276="","",$E$3+SUM($E$9:E276)-SUM($F$9:F276))</f>
        <v/>
      </c>
    </row>
    <row r="277" spans="1:7" x14ac:dyDescent="0.25">
      <c r="A277" s="9"/>
      <c r="B277" s="6" t="str">
        <f t="shared" si="4"/>
        <v/>
      </c>
      <c r="E277" s="31"/>
      <c r="F277" s="31"/>
      <c r="G277" s="32" t="str">
        <f>IF(A277="","",$E$3+SUM($E$9:E277)-SUM($F$9:F277))</f>
        <v/>
      </c>
    </row>
    <row r="278" spans="1:7" x14ac:dyDescent="0.25">
      <c r="A278" s="9"/>
      <c r="B278" s="6" t="str">
        <f t="shared" si="4"/>
        <v/>
      </c>
      <c r="E278" s="31"/>
      <c r="F278" s="31"/>
      <c r="G278" s="32" t="str">
        <f>IF(A278="","",$E$3+SUM($E$9:E278)-SUM($F$9:F278))</f>
        <v/>
      </c>
    </row>
    <row r="279" spans="1:7" x14ac:dyDescent="0.25">
      <c r="A279" s="9"/>
      <c r="B279" s="6" t="str">
        <f t="shared" si="4"/>
        <v/>
      </c>
      <c r="E279" s="31"/>
      <c r="F279" s="31"/>
      <c r="G279" s="32" t="str">
        <f>IF(A279="","",$E$3+SUM($E$9:E279)-SUM($F$9:F279))</f>
        <v/>
      </c>
    </row>
    <row r="280" spans="1:7" x14ac:dyDescent="0.25">
      <c r="A280" s="9"/>
      <c r="B280" s="6" t="str">
        <f t="shared" si="4"/>
        <v/>
      </c>
      <c r="E280" s="31"/>
      <c r="F280" s="31"/>
      <c r="G280" s="32" t="str">
        <f>IF(A280="","",$E$3+SUM($E$9:E280)-SUM($F$9:F280))</f>
        <v/>
      </c>
    </row>
    <row r="281" spans="1:7" x14ac:dyDescent="0.25">
      <c r="A281" s="9"/>
      <c r="B281" s="6" t="str">
        <f t="shared" si="4"/>
        <v/>
      </c>
      <c r="E281" s="31"/>
      <c r="F281" s="31"/>
      <c r="G281" s="32" t="str">
        <f>IF(A281="","",$E$3+SUM($E$9:E281)-SUM($F$9:F281))</f>
        <v/>
      </c>
    </row>
    <row r="282" spans="1:7" x14ac:dyDescent="0.25">
      <c r="A282" s="9"/>
      <c r="B282" s="6" t="str">
        <f t="shared" si="4"/>
        <v/>
      </c>
      <c r="E282" s="31"/>
      <c r="F282" s="31"/>
      <c r="G282" s="32" t="str">
        <f>IF(A282="","",$E$3+SUM($E$9:E282)-SUM($F$9:F282))</f>
        <v/>
      </c>
    </row>
    <row r="283" spans="1:7" x14ac:dyDescent="0.25">
      <c r="A283" s="9"/>
      <c r="B283" s="6" t="str">
        <f t="shared" si="4"/>
        <v/>
      </c>
      <c r="E283" s="31"/>
      <c r="F283" s="31"/>
      <c r="G283" s="32" t="str">
        <f>IF(A283="","",$E$3+SUM($E$9:E283)-SUM($F$9:F283))</f>
        <v/>
      </c>
    </row>
    <row r="284" spans="1:7" x14ac:dyDescent="0.25">
      <c r="A284" s="9"/>
      <c r="B284" s="6" t="str">
        <f t="shared" si="4"/>
        <v/>
      </c>
      <c r="E284" s="31"/>
      <c r="F284" s="31"/>
      <c r="G284" s="32" t="str">
        <f>IF(A284="","",$E$3+SUM($E$9:E284)-SUM($F$9:F284))</f>
        <v/>
      </c>
    </row>
    <row r="285" spans="1:7" x14ac:dyDescent="0.25">
      <c r="A285" s="9"/>
      <c r="B285" s="6" t="str">
        <f t="shared" si="4"/>
        <v/>
      </c>
      <c r="E285" s="31"/>
      <c r="F285" s="31"/>
      <c r="G285" s="32" t="str">
        <f>IF(A285="","",$E$3+SUM($E$9:E285)-SUM($F$9:F285))</f>
        <v/>
      </c>
    </row>
    <row r="286" spans="1:7" x14ac:dyDescent="0.25">
      <c r="A286" s="9"/>
      <c r="B286" s="6" t="str">
        <f t="shared" si="4"/>
        <v/>
      </c>
      <c r="E286" s="31"/>
      <c r="F286" s="31"/>
      <c r="G286" s="32" t="str">
        <f>IF(A286="","",$E$3+SUM($E$9:E286)-SUM($F$9:F286))</f>
        <v/>
      </c>
    </row>
    <row r="287" spans="1:7" x14ac:dyDescent="0.25">
      <c r="A287" s="9"/>
      <c r="B287" s="6" t="str">
        <f t="shared" si="4"/>
        <v/>
      </c>
      <c r="E287" s="31"/>
      <c r="F287" s="31"/>
      <c r="G287" s="32" t="str">
        <f>IF(A287="","",$E$3+SUM($E$9:E287)-SUM($F$9:F287))</f>
        <v/>
      </c>
    </row>
    <row r="288" spans="1:7" x14ac:dyDescent="0.25">
      <c r="A288" s="9"/>
      <c r="B288" s="6" t="str">
        <f t="shared" si="4"/>
        <v/>
      </c>
      <c r="E288" s="31"/>
      <c r="F288" s="31"/>
      <c r="G288" s="32" t="str">
        <f>IF(A288="","",$E$3+SUM($E$9:E288)-SUM($F$9:F288))</f>
        <v/>
      </c>
    </row>
    <row r="289" spans="1:7" x14ac:dyDescent="0.25">
      <c r="A289" s="9"/>
      <c r="B289" s="6" t="str">
        <f t="shared" si="4"/>
        <v/>
      </c>
      <c r="E289" s="31"/>
      <c r="F289" s="31"/>
      <c r="G289" s="32" t="str">
        <f>IF(A289="","",$E$3+SUM($E$9:E289)-SUM($F$9:F289))</f>
        <v/>
      </c>
    </row>
    <row r="290" spans="1:7" x14ac:dyDescent="0.25">
      <c r="A290" s="9"/>
      <c r="B290" s="6" t="str">
        <f t="shared" si="4"/>
        <v/>
      </c>
      <c r="E290" s="31"/>
      <c r="F290" s="31"/>
      <c r="G290" s="32" t="str">
        <f>IF(A290="","",$E$3+SUM($E$9:E290)-SUM($F$9:F290))</f>
        <v/>
      </c>
    </row>
    <row r="291" spans="1:7" x14ac:dyDescent="0.25">
      <c r="A291" s="9"/>
      <c r="B291" s="6" t="str">
        <f t="shared" si="4"/>
        <v/>
      </c>
      <c r="E291" s="31"/>
      <c r="F291" s="31"/>
      <c r="G291" s="32" t="str">
        <f>IF(A291="","",$E$3+SUM($E$9:E291)-SUM($F$9:F291))</f>
        <v/>
      </c>
    </row>
    <row r="292" spans="1:7" x14ac:dyDescent="0.25">
      <c r="A292" s="9"/>
      <c r="B292" s="6" t="str">
        <f t="shared" si="4"/>
        <v/>
      </c>
      <c r="E292" s="31"/>
      <c r="F292" s="31"/>
      <c r="G292" s="32" t="str">
        <f>IF(A292="","",$E$3+SUM($E$9:E292)-SUM($F$9:F292))</f>
        <v/>
      </c>
    </row>
    <row r="293" spans="1:7" x14ac:dyDescent="0.25">
      <c r="A293" s="9"/>
      <c r="B293" s="6" t="str">
        <f t="shared" si="4"/>
        <v/>
      </c>
      <c r="E293" s="31"/>
      <c r="F293" s="31"/>
      <c r="G293" s="32" t="str">
        <f>IF(A293="","",$E$3+SUM($E$9:E293)-SUM($F$9:F293))</f>
        <v/>
      </c>
    </row>
    <row r="294" spans="1:7" x14ac:dyDescent="0.25">
      <c r="A294" s="9"/>
      <c r="B294" s="6" t="str">
        <f t="shared" si="4"/>
        <v/>
      </c>
      <c r="E294" s="31"/>
      <c r="F294" s="31"/>
      <c r="G294" s="32" t="str">
        <f>IF(A294="","",$E$3+SUM($E$9:E294)-SUM($F$9:F294))</f>
        <v/>
      </c>
    </row>
    <row r="295" spans="1:7" x14ac:dyDescent="0.25">
      <c r="A295" s="9"/>
      <c r="B295" s="6" t="str">
        <f t="shared" si="4"/>
        <v/>
      </c>
      <c r="E295" s="31"/>
      <c r="F295" s="31"/>
      <c r="G295" s="32" t="str">
        <f>IF(A295="","",$E$3+SUM($E$9:E295)-SUM($F$9:F295))</f>
        <v/>
      </c>
    </row>
    <row r="296" spans="1:7" x14ac:dyDescent="0.25">
      <c r="A296" s="9"/>
      <c r="B296" s="6" t="str">
        <f t="shared" si="4"/>
        <v/>
      </c>
      <c r="E296" s="31"/>
      <c r="F296" s="31"/>
      <c r="G296" s="32" t="str">
        <f>IF(A296="","",$E$3+SUM($E$9:E296)-SUM($F$9:F296))</f>
        <v/>
      </c>
    </row>
    <row r="297" spans="1:7" x14ac:dyDescent="0.25">
      <c r="A297" s="9"/>
      <c r="B297" s="6" t="str">
        <f t="shared" si="4"/>
        <v/>
      </c>
      <c r="E297" s="31"/>
      <c r="F297" s="31"/>
      <c r="G297" s="32" t="str">
        <f>IF(A297="","",$E$3+SUM($E$9:E297)-SUM($F$9:F297))</f>
        <v/>
      </c>
    </row>
    <row r="298" spans="1:7" x14ac:dyDescent="0.25">
      <c r="A298" s="9"/>
      <c r="B298" s="6" t="str">
        <f t="shared" si="4"/>
        <v/>
      </c>
      <c r="E298" s="31"/>
      <c r="F298" s="31"/>
      <c r="G298" s="32" t="str">
        <f>IF(A298="","",$E$3+SUM($E$9:E298)-SUM($F$9:F298))</f>
        <v/>
      </c>
    </row>
    <row r="299" spans="1:7" x14ac:dyDescent="0.25">
      <c r="A299" s="9"/>
      <c r="B299" s="6" t="str">
        <f t="shared" si="4"/>
        <v/>
      </c>
      <c r="E299" s="31"/>
      <c r="F299" s="31"/>
      <c r="G299" s="32" t="str">
        <f>IF(A299="","",$E$3+SUM($E$9:E299)-SUM($F$9:F299))</f>
        <v/>
      </c>
    </row>
    <row r="300" spans="1:7" x14ac:dyDescent="0.25">
      <c r="A300" s="9"/>
      <c r="B300" s="6" t="str">
        <f t="shared" si="4"/>
        <v/>
      </c>
      <c r="E300" s="31"/>
      <c r="F300" s="31"/>
      <c r="G300" s="32" t="str">
        <f>IF(A300="","",$E$3+SUM($E$9:E300)-SUM($F$9:F300))</f>
        <v/>
      </c>
    </row>
    <row r="301" spans="1:7" x14ac:dyDescent="0.25">
      <c r="A301" s="9"/>
      <c r="B301" s="6" t="str">
        <f t="shared" si="4"/>
        <v/>
      </c>
      <c r="E301" s="31"/>
      <c r="F301" s="31"/>
      <c r="G301" s="32" t="str">
        <f>IF(A301="","",$E$3+SUM($E$9:E301)-SUM($F$9:F301))</f>
        <v/>
      </c>
    </row>
    <row r="302" spans="1:7" x14ac:dyDescent="0.25">
      <c r="A302" s="9"/>
      <c r="B302" s="6" t="str">
        <f t="shared" si="4"/>
        <v/>
      </c>
      <c r="E302" s="31"/>
      <c r="F302" s="31"/>
      <c r="G302" s="32" t="str">
        <f>IF(A302="","",$E$3+SUM($E$9:E302)-SUM($F$9:F302))</f>
        <v/>
      </c>
    </row>
    <row r="303" spans="1:7" x14ac:dyDescent="0.25">
      <c r="A303" s="9"/>
      <c r="B303" s="6" t="str">
        <f t="shared" si="4"/>
        <v/>
      </c>
      <c r="E303" s="31"/>
      <c r="F303" s="31"/>
      <c r="G303" s="32" t="str">
        <f>IF(A303="","",$E$3+SUM($E$9:E303)-SUM($F$9:F303))</f>
        <v/>
      </c>
    </row>
    <row r="304" spans="1:7" x14ac:dyDescent="0.25">
      <c r="A304" s="9"/>
      <c r="B304" s="6" t="str">
        <f t="shared" si="4"/>
        <v/>
      </c>
      <c r="E304" s="31"/>
      <c r="F304" s="31"/>
      <c r="G304" s="32" t="str">
        <f>IF(A304="","",$E$3+SUM($E$9:E304)-SUM($F$9:F304))</f>
        <v/>
      </c>
    </row>
    <row r="305" spans="1:7" x14ac:dyDescent="0.25">
      <c r="A305" s="9"/>
      <c r="B305" s="6" t="str">
        <f t="shared" si="4"/>
        <v/>
      </c>
      <c r="E305" s="31"/>
      <c r="F305" s="31"/>
      <c r="G305" s="32" t="str">
        <f>IF(A305="","",$E$3+SUM($E$9:E305)-SUM($F$9:F305))</f>
        <v/>
      </c>
    </row>
    <row r="306" spans="1:7" x14ac:dyDescent="0.25">
      <c r="A306" s="9"/>
      <c r="B306" s="6" t="str">
        <f t="shared" si="4"/>
        <v/>
      </c>
      <c r="E306" s="31"/>
      <c r="F306" s="31"/>
      <c r="G306" s="32" t="str">
        <f>IF(A306="","",$E$3+SUM($E$9:E306)-SUM($F$9:F306))</f>
        <v/>
      </c>
    </row>
    <row r="307" spans="1:7" x14ac:dyDescent="0.25">
      <c r="A307" s="9"/>
      <c r="B307" s="6" t="str">
        <f t="shared" si="4"/>
        <v/>
      </c>
      <c r="E307" s="31"/>
      <c r="F307" s="31"/>
      <c r="G307" s="32" t="str">
        <f>IF(A307="","",$E$3+SUM($E$9:E307)-SUM($F$9:F307))</f>
        <v/>
      </c>
    </row>
    <row r="308" spans="1:7" x14ac:dyDescent="0.25">
      <c r="A308" s="9"/>
      <c r="B308" s="6" t="str">
        <f t="shared" si="4"/>
        <v/>
      </c>
      <c r="E308" s="31"/>
      <c r="F308" s="31"/>
      <c r="G308" s="32" t="str">
        <f>IF(A308="","",$E$3+SUM($E$9:E308)-SUM($F$9:F308))</f>
        <v/>
      </c>
    </row>
    <row r="309" spans="1:7" x14ac:dyDescent="0.25">
      <c r="A309" s="9"/>
      <c r="B309" s="6" t="str">
        <f t="shared" si="4"/>
        <v/>
      </c>
      <c r="E309" s="31"/>
      <c r="F309" s="31"/>
      <c r="G309" s="32" t="str">
        <f>IF(A309="","",$E$3+SUM($E$9:E309)-SUM($F$9:F309))</f>
        <v/>
      </c>
    </row>
    <row r="310" spans="1:7" x14ac:dyDescent="0.25">
      <c r="A310" s="9"/>
      <c r="B310" s="6" t="str">
        <f t="shared" si="4"/>
        <v/>
      </c>
      <c r="E310" s="31"/>
      <c r="F310" s="31"/>
      <c r="G310" s="32" t="str">
        <f>IF(A310="","",$E$3+SUM($E$9:E310)-SUM($F$9:F310))</f>
        <v/>
      </c>
    </row>
    <row r="311" spans="1:7" x14ac:dyDescent="0.25">
      <c r="A311" s="9"/>
      <c r="B311" s="6" t="str">
        <f t="shared" si="4"/>
        <v/>
      </c>
      <c r="E311" s="31"/>
      <c r="F311" s="31"/>
      <c r="G311" s="32" t="str">
        <f>IF(A311="","",$E$3+SUM($E$9:E311)-SUM($F$9:F311))</f>
        <v/>
      </c>
    </row>
    <row r="312" spans="1:7" x14ac:dyDescent="0.25">
      <c r="A312" s="9"/>
      <c r="B312" s="6" t="str">
        <f t="shared" si="4"/>
        <v/>
      </c>
      <c r="E312" s="31"/>
      <c r="F312" s="31"/>
      <c r="G312" s="32" t="str">
        <f>IF(A312="","",$E$3+SUM($E$9:E312)-SUM($F$9:F312))</f>
        <v/>
      </c>
    </row>
    <row r="313" spans="1:7" x14ac:dyDescent="0.25">
      <c r="A313" s="9"/>
      <c r="B313" s="6" t="str">
        <f t="shared" si="4"/>
        <v/>
      </c>
      <c r="E313" s="31"/>
      <c r="F313" s="31"/>
      <c r="G313" s="32" t="str">
        <f>IF(A313="","",$E$3+SUM($E$9:E313)-SUM($F$9:F313))</f>
        <v/>
      </c>
    </row>
    <row r="314" spans="1:7" x14ac:dyDescent="0.25">
      <c r="A314" s="9"/>
      <c r="B314" s="6" t="str">
        <f t="shared" si="4"/>
        <v/>
      </c>
      <c r="E314" s="31"/>
      <c r="F314" s="31"/>
      <c r="G314" s="32" t="str">
        <f>IF(A314="","",$E$3+SUM($E$9:E314)-SUM($F$9:F314))</f>
        <v/>
      </c>
    </row>
    <row r="315" spans="1:7" x14ac:dyDescent="0.25">
      <c r="A315" s="9"/>
      <c r="B315" s="6" t="str">
        <f t="shared" si="4"/>
        <v/>
      </c>
      <c r="E315" s="31"/>
      <c r="F315" s="31"/>
      <c r="G315" s="32" t="str">
        <f>IF(A315="","",$E$3+SUM($E$9:E315)-SUM($F$9:F315))</f>
        <v/>
      </c>
    </row>
    <row r="316" spans="1:7" x14ac:dyDescent="0.25">
      <c r="A316" s="9"/>
      <c r="B316" s="6" t="str">
        <f t="shared" si="4"/>
        <v/>
      </c>
      <c r="E316" s="31"/>
      <c r="F316" s="31"/>
      <c r="G316" s="32" t="str">
        <f>IF(A316="","",$E$3+SUM($E$9:E316)-SUM($F$9:F316))</f>
        <v/>
      </c>
    </row>
    <row r="317" spans="1:7" x14ac:dyDescent="0.25">
      <c r="A317" s="9"/>
      <c r="B317" s="6" t="str">
        <f t="shared" si="4"/>
        <v/>
      </c>
      <c r="E317" s="31"/>
      <c r="F317" s="31"/>
      <c r="G317" s="32" t="str">
        <f>IF(A317="","",$E$3+SUM($E$9:E317)-SUM($F$9:F317))</f>
        <v/>
      </c>
    </row>
    <row r="318" spans="1:7" x14ac:dyDescent="0.25">
      <c r="A318" s="9"/>
      <c r="B318" s="6" t="str">
        <f t="shared" si="4"/>
        <v/>
      </c>
      <c r="E318" s="31"/>
      <c r="F318" s="31"/>
      <c r="G318" s="32" t="str">
        <f>IF(A318="","",$E$3+SUM($E$9:E318)-SUM($F$9:F318))</f>
        <v/>
      </c>
    </row>
    <row r="319" spans="1:7" x14ac:dyDescent="0.25">
      <c r="A319" s="9"/>
      <c r="B319" s="6" t="str">
        <f t="shared" si="4"/>
        <v/>
      </c>
      <c r="E319" s="31"/>
      <c r="F319" s="31"/>
      <c r="G319" s="32" t="str">
        <f>IF(A319="","",$E$3+SUM($E$9:E319)-SUM($F$9:F319))</f>
        <v/>
      </c>
    </row>
    <row r="320" spans="1:7" x14ac:dyDescent="0.25">
      <c r="A320" s="9"/>
      <c r="B320" s="6" t="str">
        <f t="shared" si="4"/>
        <v/>
      </c>
      <c r="E320" s="31"/>
      <c r="F320" s="31"/>
      <c r="G320" s="32" t="str">
        <f>IF(A320="","",$E$3+SUM($E$9:E320)-SUM($F$9:F320))</f>
        <v/>
      </c>
    </row>
    <row r="321" spans="1:7" x14ac:dyDescent="0.25">
      <c r="A321" s="9"/>
      <c r="B321" s="6" t="str">
        <f t="shared" si="4"/>
        <v/>
      </c>
      <c r="E321" s="31"/>
      <c r="F321" s="31"/>
      <c r="G321" s="32" t="str">
        <f>IF(A321="","",$E$3+SUM($E$9:E321)-SUM($F$9:F321))</f>
        <v/>
      </c>
    </row>
    <row r="322" spans="1:7" x14ac:dyDescent="0.25">
      <c r="A322" s="9"/>
      <c r="B322" s="6" t="str">
        <f t="shared" si="4"/>
        <v/>
      </c>
      <c r="E322" s="31"/>
      <c r="F322" s="31"/>
      <c r="G322" s="32" t="str">
        <f>IF(A322="","",$E$3+SUM($E$9:E322)-SUM($F$9:F322))</f>
        <v/>
      </c>
    </row>
    <row r="323" spans="1:7" x14ac:dyDescent="0.25">
      <c r="A323" s="9"/>
      <c r="B323" s="6" t="str">
        <f t="shared" si="4"/>
        <v/>
      </c>
      <c r="E323" s="31"/>
      <c r="F323" s="31"/>
      <c r="G323" s="32" t="str">
        <f>IF(A323="","",$E$3+SUM($E$9:E323)-SUM($F$9:F323))</f>
        <v/>
      </c>
    </row>
    <row r="324" spans="1:7" x14ac:dyDescent="0.25">
      <c r="A324" s="9"/>
      <c r="B324" s="6" t="str">
        <f t="shared" si="4"/>
        <v/>
      </c>
      <c r="E324" s="31"/>
      <c r="F324" s="31"/>
      <c r="G324" s="32" t="str">
        <f>IF(A324="","",$E$3+SUM($E$9:E324)-SUM($F$9:F324))</f>
        <v/>
      </c>
    </row>
    <row r="325" spans="1:7" x14ac:dyDescent="0.25">
      <c r="A325" s="9"/>
      <c r="B325" s="6" t="str">
        <f t="shared" si="4"/>
        <v/>
      </c>
      <c r="E325" s="31"/>
      <c r="F325" s="31"/>
      <c r="G325" s="32" t="str">
        <f>IF(A325="","",$E$3+SUM($E$9:E325)-SUM($F$9:F325))</f>
        <v/>
      </c>
    </row>
    <row r="326" spans="1:7" x14ac:dyDescent="0.25">
      <c r="A326" s="9"/>
      <c r="B326" s="6" t="str">
        <f t="shared" si="4"/>
        <v/>
      </c>
      <c r="E326" s="31"/>
      <c r="F326" s="31"/>
      <c r="G326" s="32" t="str">
        <f>IF(A326="","",$E$3+SUM($E$9:E326)-SUM($F$9:F326))</f>
        <v/>
      </c>
    </row>
    <row r="327" spans="1:7" x14ac:dyDescent="0.25">
      <c r="A327" s="9"/>
      <c r="B327" s="6" t="str">
        <f t="shared" si="4"/>
        <v/>
      </c>
      <c r="E327" s="31"/>
      <c r="F327" s="31"/>
      <c r="G327" s="32" t="str">
        <f>IF(A327="","",$E$3+SUM($E$9:E327)-SUM($F$9:F327))</f>
        <v/>
      </c>
    </row>
    <row r="328" spans="1:7" x14ac:dyDescent="0.25">
      <c r="A328" s="9"/>
      <c r="B328" s="6" t="str">
        <f t="shared" si="4"/>
        <v/>
      </c>
      <c r="E328" s="31"/>
      <c r="F328" s="31"/>
      <c r="G328" s="32" t="str">
        <f>IF(A328="","",$E$3+SUM($E$9:E328)-SUM($F$9:F328))</f>
        <v/>
      </c>
    </row>
    <row r="329" spans="1:7" x14ac:dyDescent="0.25">
      <c r="A329" s="9"/>
      <c r="B329" s="6" t="str">
        <f t="shared" si="4"/>
        <v/>
      </c>
      <c r="E329" s="31"/>
      <c r="F329" s="31"/>
      <c r="G329" s="32" t="str">
        <f>IF(A329="","",$E$3+SUM($E$9:E329)-SUM($F$9:F329))</f>
        <v/>
      </c>
    </row>
    <row r="330" spans="1:7" x14ac:dyDescent="0.25">
      <c r="A330" s="9"/>
      <c r="B330" s="6" t="str">
        <f t="shared" ref="B330:B393" si="5">IF(A330="","",TEXT(A330,"dddd"))</f>
        <v/>
      </c>
      <c r="E330" s="31"/>
      <c r="F330" s="31"/>
      <c r="G330" s="32" t="str">
        <f>IF(A330="","",$E$3+SUM($E$9:E330)-SUM($F$9:F330))</f>
        <v/>
      </c>
    </row>
    <row r="331" spans="1:7" x14ac:dyDescent="0.25">
      <c r="A331" s="9"/>
      <c r="B331" s="6" t="str">
        <f t="shared" si="5"/>
        <v/>
      </c>
      <c r="E331" s="31"/>
      <c r="F331" s="31"/>
      <c r="G331" s="32" t="str">
        <f>IF(A331="","",$E$3+SUM($E$9:E331)-SUM($F$9:F331))</f>
        <v/>
      </c>
    </row>
    <row r="332" spans="1:7" x14ac:dyDescent="0.25">
      <c r="A332" s="9"/>
      <c r="B332" s="6" t="str">
        <f t="shared" si="5"/>
        <v/>
      </c>
      <c r="E332" s="31"/>
      <c r="F332" s="31"/>
      <c r="G332" s="32" t="str">
        <f>IF(A332="","",$E$3+SUM($E$9:E332)-SUM($F$9:F332))</f>
        <v/>
      </c>
    </row>
    <row r="333" spans="1:7" x14ac:dyDescent="0.25">
      <c r="A333" s="9"/>
      <c r="B333" s="6" t="str">
        <f t="shared" si="5"/>
        <v/>
      </c>
      <c r="E333" s="31"/>
      <c r="F333" s="31"/>
      <c r="G333" s="32" t="str">
        <f>IF(A333="","",$E$3+SUM($E$9:E333)-SUM($F$9:F333))</f>
        <v/>
      </c>
    </row>
    <row r="334" spans="1:7" x14ac:dyDescent="0.25">
      <c r="A334" s="9"/>
      <c r="B334" s="6" t="str">
        <f t="shared" si="5"/>
        <v/>
      </c>
      <c r="E334" s="31"/>
      <c r="F334" s="31"/>
      <c r="G334" s="32" t="str">
        <f>IF(A334="","",$E$3+SUM($E$9:E334)-SUM($F$9:F334))</f>
        <v/>
      </c>
    </row>
    <row r="335" spans="1:7" x14ac:dyDescent="0.25">
      <c r="A335" s="9"/>
      <c r="B335" s="6" t="str">
        <f t="shared" si="5"/>
        <v/>
      </c>
      <c r="E335" s="31"/>
      <c r="F335" s="31"/>
      <c r="G335" s="32" t="str">
        <f>IF(A335="","",$E$3+SUM($E$9:E335)-SUM($F$9:F335))</f>
        <v/>
      </c>
    </row>
    <row r="336" spans="1:7" x14ac:dyDescent="0.25">
      <c r="A336" s="9"/>
      <c r="B336" s="6" t="str">
        <f t="shared" si="5"/>
        <v/>
      </c>
      <c r="E336" s="31"/>
      <c r="F336" s="31"/>
      <c r="G336" s="32" t="str">
        <f>IF(A336="","",$E$3+SUM($E$9:E336)-SUM($F$9:F336))</f>
        <v/>
      </c>
    </row>
    <row r="337" spans="1:7" x14ac:dyDescent="0.25">
      <c r="A337" s="9"/>
      <c r="B337" s="6" t="str">
        <f t="shared" si="5"/>
        <v/>
      </c>
      <c r="E337" s="31"/>
      <c r="F337" s="31"/>
      <c r="G337" s="32" t="str">
        <f>IF(A337="","",$E$3+SUM($E$9:E337)-SUM($F$9:F337))</f>
        <v/>
      </c>
    </row>
    <row r="338" spans="1:7" x14ac:dyDescent="0.25">
      <c r="A338" s="9"/>
      <c r="B338" s="6" t="str">
        <f t="shared" si="5"/>
        <v/>
      </c>
      <c r="E338" s="31"/>
      <c r="F338" s="31"/>
      <c r="G338" s="32" t="str">
        <f>IF(A338="","",$E$3+SUM($E$9:E338)-SUM($F$9:F338))</f>
        <v/>
      </c>
    </row>
    <row r="339" spans="1:7" x14ac:dyDescent="0.25">
      <c r="A339" s="9"/>
      <c r="B339" s="6" t="str">
        <f t="shared" si="5"/>
        <v/>
      </c>
      <c r="E339" s="31"/>
      <c r="F339" s="31"/>
      <c r="G339" s="32" t="str">
        <f>IF(A339="","",$E$3+SUM($E$9:E339)-SUM($F$9:F339))</f>
        <v/>
      </c>
    </row>
    <row r="340" spans="1:7" x14ac:dyDescent="0.25">
      <c r="A340" s="9"/>
      <c r="B340" s="6" t="str">
        <f t="shared" si="5"/>
        <v/>
      </c>
      <c r="E340" s="31"/>
      <c r="F340" s="31"/>
      <c r="G340" s="32" t="str">
        <f>IF(A340="","",$E$3+SUM($E$9:E340)-SUM($F$9:F340))</f>
        <v/>
      </c>
    </row>
    <row r="341" spans="1:7" x14ac:dyDescent="0.25">
      <c r="A341" s="9"/>
      <c r="B341" s="6" t="str">
        <f t="shared" si="5"/>
        <v/>
      </c>
      <c r="E341" s="31"/>
      <c r="F341" s="31"/>
      <c r="G341" s="32" t="str">
        <f>IF(A341="","",$E$3+SUM($E$9:E341)-SUM($F$9:F341))</f>
        <v/>
      </c>
    </row>
    <row r="342" spans="1:7" x14ac:dyDescent="0.25">
      <c r="A342" s="9"/>
      <c r="B342" s="6" t="str">
        <f t="shared" si="5"/>
        <v/>
      </c>
      <c r="E342" s="31"/>
      <c r="F342" s="31"/>
      <c r="G342" s="32" t="str">
        <f>IF(A342="","",$E$3+SUM($E$9:E342)-SUM($F$9:F342))</f>
        <v/>
      </c>
    </row>
    <row r="343" spans="1:7" x14ac:dyDescent="0.25">
      <c r="A343" s="9"/>
      <c r="B343" s="6" t="str">
        <f t="shared" si="5"/>
        <v/>
      </c>
      <c r="E343" s="31"/>
      <c r="F343" s="31"/>
      <c r="G343" s="32" t="str">
        <f>IF(A343="","",$E$3+SUM($E$9:E343)-SUM($F$9:F343))</f>
        <v/>
      </c>
    </row>
    <row r="344" spans="1:7" x14ac:dyDescent="0.25">
      <c r="A344" s="9"/>
      <c r="B344" s="6" t="str">
        <f t="shared" si="5"/>
        <v/>
      </c>
      <c r="E344" s="31"/>
      <c r="F344" s="31"/>
      <c r="G344" s="32" t="str">
        <f>IF(A344="","",$E$3+SUM($E$9:E344)-SUM($F$9:F344))</f>
        <v/>
      </c>
    </row>
    <row r="345" spans="1:7" x14ac:dyDescent="0.25">
      <c r="A345" s="9"/>
      <c r="B345" s="6" t="str">
        <f t="shared" si="5"/>
        <v/>
      </c>
      <c r="E345" s="31"/>
      <c r="F345" s="31"/>
      <c r="G345" s="32" t="str">
        <f>IF(A345="","",$E$3+SUM($E$9:E345)-SUM($F$9:F345))</f>
        <v/>
      </c>
    </row>
    <row r="346" spans="1:7" x14ac:dyDescent="0.25">
      <c r="A346" s="9"/>
      <c r="B346" s="6" t="str">
        <f t="shared" si="5"/>
        <v/>
      </c>
      <c r="E346" s="31"/>
      <c r="F346" s="31"/>
      <c r="G346" s="32" t="str">
        <f>IF(A346="","",$E$3+SUM($E$9:E346)-SUM($F$9:F346))</f>
        <v/>
      </c>
    </row>
    <row r="347" spans="1:7" x14ac:dyDescent="0.25">
      <c r="A347" s="9"/>
      <c r="B347" s="6" t="str">
        <f t="shared" si="5"/>
        <v/>
      </c>
      <c r="E347" s="31"/>
      <c r="F347" s="31"/>
      <c r="G347" s="32" t="str">
        <f>IF(A347="","",$E$3+SUM($E$9:E347)-SUM($F$9:F347))</f>
        <v/>
      </c>
    </row>
    <row r="348" spans="1:7" x14ac:dyDescent="0.25">
      <c r="A348" s="9"/>
      <c r="B348" s="6" t="str">
        <f t="shared" si="5"/>
        <v/>
      </c>
      <c r="E348" s="31"/>
      <c r="F348" s="31"/>
      <c r="G348" s="32" t="str">
        <f>IF(A348="","",$E$3+SUM($E$9:E348)-SUM($F$9:F348))</f>
        <v/>
      </c>
    </row>
    <row r="349" spans="1:7" x14ac:dyDescent="0.25">
      <c r="A349" s="9"/>
      <c r="B349" s="6" t="str">
        <f t="shared" si="5"/>
        <v/>
      </c>
      <c r="E349" s="31"/>
      <c r="F349" s="31"/>
      <c r="G349" s="32" t="str">
        <f>IF(A349="","",$E$3+SUM($E$9:E349)-SUM($F$9:F349))</f>
        <v/>
      </c>
    </row>
    <row r="350" spans="1:7" x14ac:dyDescent="0.25">
      <c r="A350" s="9"/>
      <c r="B350" s="6" t="str">
        <f t="shared" si="5"/>
        <v/>
      </c>
      <c r="E350" s="31"/>
      <c r="F350" s="31"/>
      <c r="G350" s="32" t="str">
        <f>IF(A350="","",$E$3+SUM($E$9:E350)-SUM($F$9:F350))</f>
        <v/>
      </c>
    </row>
    <row r="351" spans="1:7" x14ac:dyDescent="0.25">
      <c r="A351" s="9"/>
      <c r="B351" s="6" t="str">
        <f t="shared" si="5"/>
        <v/>
      </c>
      <c r="E351" s="31"/>
      <c r="F351" s="31"/>
      <c r="G351" s="32" t="str">
        <f>IF(A351="","",$E$3+SUM($E$9:E351)-SUM($F$9:F351))</f>
        <v/>
      </c>
    </row>
    <row r="352" spans="1:7" x14ac:dyDescent="0.25">
      <c r="A352" s="9"/>
      <c r="B352" s="6" t="str">
        <f t="shared" si="5"/>
        <v/>
      </c>
      <c r="E352" s="31"/>
      <c r="F352" s="31"/>
      <c r="G352" s="32" t="str">
        <f>IF(A352="","",$E$3+SUM($E$9:E352)-SUM($F$9:F352))</f>
        <v/>
      </c>
    </row>
    <row r="353" spans="1:7" x14ac:dyDescent="0.25">
      <c r="A353" s="9"/>
      <c r="B353" s="6" t="str">
        <f t="shared" si="5"/>
        <v/>
      </c>
      <c r="E353" s="31"/>
      <c r="F353" s="31"/>
      <c r="G353" s="32" t="str">
        <f>IF(A353="","",$E$3+SUM($E$9:E353)-SUM($F$9:F353))</f>
        <v/>
      </c>
    </row>
    <row r="354" spans="1:7" x14ac:dyDescent="0.25">
      <c r="A354" s="9"/>
      <c r="B354" s="6" t="str">
        <f t="shared" si="5"/>
        <v/>
      </c>
      <c r="E354" s="31"/>
      <c r="F354" s="31"/>
      <c r="G354" s="32" t="str">
        <f>IF(A354="","",$E$3+SUM($E$9:E354)-SUM($F$9:F354))</f>
        <v/>
      </c>
    </row>
    <row r="355" spans="1:7" x14ac:dyDescent="0.25">
      <c r="A355" s="9"/>
      <c r="B355" s="6" t="str">
        <f t="shared" si="5"/>
        <v/>
      </c>
      <c r="E355" s="31"/>
      <c r="F355" s="31"/>
      <c r="G355" s="32" t="str">
        <f>IF(A355="","",$E$3+SUM($E$9:E355)-SUM($F$9:F355))</f>
        <v/>
      </c>
    </row>
    <row r="356" spans="1:7" x14ac:dyDescent="0.25">
      <c r="A356" s="9"/>
      <c r="B356" s="6" t="str">
        <f t="shared" si="5"/>
        <v/>
      </c>
      <c r="E356" s="31"/>
      <c r="F356" s="31"/>
      <c r="G356" s="32" t="str">
        <f>IF(A356="","",$E$3+SUM($E$9:E356)-SUM($F$9:F356))</f>
        <v/>
      </c>
    </row>
    <row r="357" spans="1:7" x14ac:dyDescent="0.25">
      <c r="A357" s="9"/>
      <c r="B357" s="6" t="str">
        <f t="shared" si="5"/>
        <v/>
      </c>
      <c r="E357" s="31"/>
      <c r="F357" s="31"/>
      <c r="G357" s="32" t="str">
        <f>IF(A357="","",$E$3+SUM($E$9:E357)-SUM($F$9:F357))</f>
        <v/>
      </c>
    </row>
    <row r="358" spans="1:7" x14ac:dyDescent="0.25">
      <c r="A358" s="9"/>
      <c r="B358" s="6" t="str">
        <f t="shared" si="5"/>
        <v/>
      </c>
      <c r="E358" s="31"/>
      <c r="F358" s="31"/>
      <c r="G358" s="32" t="str">
        <f>IF(A358="","",$E$3+SUM($E$9:E358)-SUM($F$9:F358))</f>
        <v/>
      </c>
    </row>
    <row r="359" spans="1:7" x14ac:dyDescent="0.25">
      <c r="A359" s="9"/>
      <c r="B359" s="6" t="str">
        <f t="shared" si="5"/>
        <v/>
      </c>
      <c r="E359" s="31"/>
      <c r="F359" s="31"/>
      <c r="G359" s="32" t="str">
        <f>IF(A359="","",$E$3+SUM($E$9:E359)-SUM($F$9:F359))</f>
        <v/>
      </c>
    </row>
    <row r="360" spans="1:7" x14ac:dyDescent="0.25">
      <c r="A360" s="9"/>
      <c r="B360" s="6" t="str">
        <f t="shared" si="5"/>
        <v/>
      </c>
      <c r="E360" s="31"/>
      <c r="F360" s="31"/>
      <c r="G360" s="32" t="str">
        <f>IF(A360="","",$E$3+SUM($E$9:E360)-SUM($F$9:F360))</f>
        <v/>
      </c>
    </row>
    <row r="361" spans="1:7" x14ac:dyDescent="0.25">
      <c r="A361" s="9"/>
      <c r="B361" s="6" t="str">
        <f t="shared" si="5"/>
        <v/>
      </c>
      <c r="E361" s="31"/>
      <c r="F361" s="31"/>
      <c r="G361" s="32" t="str">
        <f>IF(A361="","",$E$3+SUM($E$9:E361)-SUM($F$9:F361))</f>
        <v/>
      </c>
    </row>
    <row r="362" spans="1:7" x14ac:dyDescent="0.25">
      <c r="A362" s="9"/>
      <c r="B362" s="6" t="str">
        <f t="shared" si="5"/>
        <v/>
      </c>
      <c r="E362" s="31"/>
      <c r="F362" s="31"/>
      <c r="G362" s="32" t="str">
        <f>IF(A362="","",$E$3+SUM($E$9:E362)-SUM($F$9:F362))</f>
        <v/>
      </c>
    </row>
    <row r="363" spans="1:7" x14ac:dyDescent="0.25">
      <c r="A363" s="9"/>
      <c r="B363" s="6" t="str">
        <f t="shared" si="5"/>
        <v/>
      </c>
      <c r="E363" s="31"/>
      <c r="F363" s="31"/>
      <c r="G363" s="32" t="str">
        <f>IF(A363="","",$E$3+SUM($E$9:E363)-SUM($F$9:F363))</f>
        <v/>
      </c>
    </row>
    <row r="364" spans="1:7" x14ac:dyDescent="0.25">
      <c r="A364" s="9"/>
      <c r="B364" s="6" t="str">
        <f t="shared" si="5"/>
        <v/>
      </c>
      <c r="E364" s="31"/>
      <c r="F364" s="31"/>
      <c r="G364" s="32" t="str">
        <f>IF(A364="","",$E$3+SUM($E$9:E364)-SUM($F$9:F364))</f>
        <v/>
      </c>
    </row>
    <row r="365" spans="1:7" x14ac:dyDescent="0.25">
      <c r="A365" s="9"/>
      <c r="B365" s="6" t="str">
        <f t="shared" si="5"/>
        <v/>
      </c>
      <c r="E365" s="31"/>
      <c r="F365" s="31"/>
      <c r="G365" s="32" t="str">
        <f>IF(A365="","",$E$3+SUM($E$9:E365)-SUM($F$9:F365))</f>
        <v/>
      </c>
    </row>
    <row r="366" spans="1:7" x14ac:dyDescent="0.25">
      <c r="A366" s="9"/>
      <c r="B366" s="6" t="str">
        <f t="shared" si="5"/>
        <v/>
      </c>
      <c r="E366" s="31"/>
      <c r="F366" s="31"/>
      <c r="G366" s="32" t="str">
        <f>IF(A366="","",$E$3+SUM($E$9:E366)-SUM($F$9:F366))</f>
        <v/>
      </c>
    </row>
    <row r="367" spans="1:7" x14ac:dyDescent="0.25">
      <c r="A367" s="9"/>
      <c r="B367" s="6" t="str">
        <f t="shared" si="5"/>
        <v/>
      </c>
      <c r="E367" s="31"/>
      <c r="F367" s="31"/>
      <c r="G367" s="32" t="str">
        <f>IF(A367="","",$E$3+SUM($E$9:E367)-SUM($F$9:F367))</f>
        <v/>
      </c>
    </row>
    <row r="368" spans="1:7" x14ac:dyDescent="0.25">
      <c r="A368" s="9"/>
      <c r="B368" s="6" t="str">
        <f t="shared" si="5"/>
        <v/>
      </c>
      <c r="E368" s="31"/>
      <c r="F368" s="31"/>
      <c r="G368" s="32" t="str">
        <f>IF(A368="","",$E$3+SUM($E$9:E368)-SUM($F$9:F368))</f>
        <v/>
      </c>
    </row>
    <row r="369" spans="1:7" x14ac:dyDescent="0.25">
      <c r="A369" s="9"/>
      <c r="B369" s="6" t="str">
        <f t="shared" si="5"/>
        <v/>
      </c>
      <c r="E369" s="31"/>
      <c r="F369" s="31"/>
      <c r="G369" s="32" t="str">
        <f>IF(A369="","",$E$3+SUM($E$9:E369)-SUM($F$9:F369))</f>
        <v/>
      </c>
    </row>
    <row r="370" spans="1:7" x14ac:dyDescent="0.25">
      <c r="A370" s="9"/>
      <c r="B370" s="6" t="str">
        <f t="shared" si="5"/>
        <v/>
      </c>
      <c r="E370" s="31"/>
      <c r="F370" s="31"/>
      <c r="G370" s="32" t="str">
        <f>IF(A370="","",$E$3+SUM($E$9:E370)-SUM($F$9:F370))</f>
        <v/>
      </c>
    </row>
    <row r="371" spans="1:7" x14ac:dyDescent="0.25">
      <c r="A371" s="9"/>
      <c r="B371" s="6" t="str">
        <f t="shared" si="5"/>
        <v/>
      </c>
      <c r="E371" s="31"/>
      <c r="F371" s="31"/>
      <c r="G371" s="32" t="str">
        <f>IF(A371="","",$E$3+SUM($E$9:E371)-SUM($F$9:F371))</f>
        <v/>
      </c>
    </row>
    <row r="372" spans="1:7" x14ac:dyDescent="0.25">
      <c r="A372" s="9"/>
      <c r="B372" s="6" t="str">
        <f t="shared" si="5"/>
        <v/>
      </c>
      <c r="E372" s="31"/>
      <c r="F372" s="31"/>
      <c r="G372" s="32" t="str">
        <f>IF(A372="","",$E$3+SUM($E$9:E372)-SUM($F$9:F372))</f>
        <v/>
      </c>
    </row>
    <row r="373" spans="1:7" x14ac:dyDescent="0.25">
      <c r="A373" s="9"/>
      <c r="B373" s="6" t="str">
        <f t="shared" si="5"/>
        <v/>
      </c>
      <c r="E373" s="31"/>
      <c r="F373" s="31"/>
      <c r="G373" s="32" t="str">
        <f>IF(A373="","",$E$3+SUM($E$9:E373)-SUM($F$9:F373))</f>
        <v/>
      </c>
    </row>
    <row r="374" spans="1:7" x14ac:dyDescent="0.25">
      <c r="A374" s="9"/>
      <c r="B374" s="6" t="str">
        <f t="shared" si="5"/>
        <v/>
      </c>
      <c r="E374" s="31"/>
      <c r="F374" s="31"/>
      <c r="G374" s="32" t="str">
        <f>IF(A374="","",$E$3+SUM($E$9:E374)-SUM($F$9:F374))</f>
        <v/>
      </c>
    </row>
    <row r="375" spans="1:7" x14ac:dyDescent="0.25">
      <c r="A375" s="9"/>
      <c r="B375" s="6" t="str">
        <f t="shared" si="5"/>
        <v/>
      </c>
      <c r="E375" s="31"/>
      <c r="F375" s="31"/>
      <c r="G375" s="32" t="str">
        <f>IF(A375="","",$E$3+SUM($E$9:E375)-SUM($F$9:F375))</f>
        <v/>
      </c>
    </row>
    <row r="376" spans="1:7" x14ac:dyDescent="0.25">
      <c r="A376" s="9"/>
      <c r="B376" s="6" t="str">
        <f t="shared" si="5"/>
        <v/>
      </c>
      <c r="E376" s="31"/>
      <c r="F376" s="31"/>
      <c r="G376" s="32" t="str">
        <f>IF(A376="","",$E$3+SUM($E$9:E376)-SUM($F$9:F376))</f>
        <v/>
      </c>
    </row>
    <row r="377" spans="1:7" x14ac:dyDescent="0.25">
      <c r="A377" s="9"/>
      <c r="B377" s="6" t="str">
        <f t="shared" si="5"/>
        <v/>
      </c>
      <c r="E377" s="31"/>
      <c r="F377" s="31"/>
      <c r="G377" s="32" t="str">
        <f>IF(A377="","",$E$3+SUM($E$9:E377)-SUM($F$9:F377))</f>
        <v/>
      </c>
    </row>
    <row r="378" spans="1:7" x14ac:dyDescent="0.25">
      <c r="A378" s="9"/>
      <c r="B378" s="6" t="str">
        <f t="shared" si="5"/>
        <v/>
      </c>
      <c r="E378" s="31"/>
      <c r="F378" s="31"/>
      <c r="G378" s="32" t="str">
        <f>IF(A378="","",$E$3+SUM($E$9:E378)-SUM($F$9:F378))</f>
        <v/>
      </c>
    </row>
    <row r="379" spans="1:7" x14ac:dyDescent="0.25">
      <c r="A379" s="9"/>
      <c r="B379" s="6" t="str">
        <f t="shared" si="5"/>
        <v/>
      </c>
      <c r="E379" s="31"/>
      <c r="F379" s="31"/>
      <c r="G379" s="32" t="str">
        <f>IF(A379="","",$E$3+SUM($E$9:E379)-SUM($F$9:F379))</f>
        <v/>
      </c>
    </row>
    <row r="380" spans="1:7" x14ac:dyDescent="0.25">
      <c r="A380" s="9"/>
      <c r="B380" s="6" t="str">
        <f t="shared" si="5"/>
        <v/>
      </c>
      <c r="E380" s="31"/>
      <c r="F380" s="31"/>
      <c r="G380" s="32" t="str">
        <f>IF(A380="","",$E$3+SUM($E$9:E380)-SUM($F$9:F380))</f>
        <v/>
      </c>
    </row>
    <row r="381" spans="1:7" x14ac:dyDescent="0.25">
      <c r="A381" s="9"/>
      <c r="B381" s="6" t="str">
        <f t="shared" si="5"/>
        <v/>
      </c>
      <c r="E381" s="31"/>
      <c r="F381" s="31"/>
      <c r="G381" s="32" t="str">
        <f>IF(A381="","",$E$3+SUM($E$9:E381)-SUM($F$9:F381))</f>
        <v/>
      </c>
    </row>
    <row r="382" spans="1:7" x14ac:dyDescent="0.25">
      <c r="A382" s="9"/>
      <c r="B382" s="6" t="str">
        <f t="shared" si="5"/>
        <v/>
      </c>
      <c r="E382" s="31"/>
      <c r="F382" s="31"/>
      <c r="G382" s="32" t="str">
        <f>IF(A382="","",$E$3+SUM($E$9:E382)-SUM($F$9:F382))</f>
        <v/>
      </c>
    </row>
    <row r="383" spans="1:7" x14ac:dyDescent="0.25">
      <c r="A383" s="9"/>
      <c r="B383" s="6" t="str">
        <f t="shared" si="5"/>
        <v/>
      </c>
      <c r="E383" s="31"/>
      <c r="F383" s="31"/>
      <c r="G383" s="32" t="str">
        <f>IF(A383="","",$E$3+SUM($E$9:E383)-SUM($F$9:F383))</f>
        <v/>
      </c>
    </row>
    <row r="384" spans="1:7" x14ac:dyDescent="0.25">
      <c r="A384" s="9"/>
      <c r="B384" s="6" t="str">
        <f t="shared" si="5"/>
        <v/>
      </c>
      <c r="E384" s="31"/>
      <c r="F384" s="31"/>
      <c r="G384" s="32" t="str">
        <f>IF(A384="","",$E$3+SUM($E$9:E384)-SUM($F$9:F384))</f>
        <v/>
      </c>
    </row>
    <row r="385" spans="1:7" x14ac:dyDescent="0.25">
      <c r="A385" s="9"/>
      <c r="B385" s="6" t="str">
        <f t="shared" si="5"/>
        <v/>
      </c>
      <c r="E385" s="31"/>
      <c r="F385" s="31"/>
      <c r="G385" s="32" t="str">
        <f>IF(A385="","",$E$3+SUM($E$9:E385)-SUM($F$9:F385))</f>
        <v/>
      </c>
    </row>
    <row r="386" spans="1:7" x14ac:dyDescent="0.25">
      <c r="A386" s="9"/>
      <c r="B386" s="6" t="str">
        <f t="shared" si="5"/>
        <v/>
      </c>
      <c r="E386" s="31"/>
      <c r="F386" s="31"/>
      <c r="G386" s="32" t="str">
        <f>IF(A386="","",$E$3+SUM($E$9:E386)-SUM($F$9:F386))</f>
        <v/>
      </c>
    </row>
    <row r="387" spans="1:7" x14ac:dyDescent="0.25">
      <c r="A387" s="9"/>
      <c r="B387" s="6" t="str">
        <f t="shared" si="5"/>
        <v/>
      </c>
      <c r="E387" s="31"/>
      <c r="F387" s="31"/>
      <c r="G387" s="32" t="str">
        <f>IF(A387="","",$E$3+SUM($E$9:E387)-SUM($F$9:F387))</f>
        <v/>
      </c>
    </row>
    <row r="388" spans="1:7" x14ac:dyDescent="0.25">
      <c r="A388" s="9"/>
      <c r="B388" s="6" t="str">
        <f t="shared" si="5"/>
        <v/>
      </c>
      <c r="E388" s="31"/>
      <c r="F388" s="31"/>
      <c r="G388" s="32" t="str">
        <f>IF(A388="","",$E$3+SUM($E$9:E388)-SUM($F$9:F388))</f>
        <v/>
      </c>
    </row>
    <row r="389" spans="1:7" x14ac:dyDescent="0.25">
      <c r="A389" s="9"/>
      <c r="B389" s="6" t="str">
        <f t="shared" si="5"/>
        <v/>
      </c>
      <c r="E389" s="31"/>
      <c r="F389" s="31"/>
      <c r="G389" s="32" t="str">
        <f>IF(A389="","",$E$3+SUM($E$9:E389)-SUM($F$9:F389))</f>
        <v/>
      </c>
    </row>
    <row r="390" spans="1:7" x14ac:dyDescent="0.25">
      <c r="A390" s="9"/>
      <c r="B390" s="6" t="str">
        <f t="shared" si="5"/>
        <v/>
      </c>
      <c r="E390" s="31"/>
      <c r="F390" s="31"/>
      <c r="G390" s="32" t="str">
        <f>IF(A390="","",$E$3+SUM($E$9:E390)-SUM($F$9:F390))</f>
        <v/>
      </c>
    </row>
    <row r="391" spans="1:7" x14ac:dyDescent="0.25">
      <c r="A391" s="9"/>
      <c r="B391" s="6" t="str">
        <f t="shared" si="5"/>
        <v/>
      </c>
      <c r="E391" s="31"/>
      <c r="F391" s="31"/>
      <c r="G391" s="32" t="str">
        <f>IF(A391="","",$E$3+SUM($E$9:E391)-SUM($F$9:F391))</f>
        <v/>
      </c>
    </row>
    <row r="392" spans="1:7" x14ac:dyDescent="0.25">
      <c r="A392" s="9"/>
      <c r="B392" s="6" t="str">
        <f t="shared" si="5"/>
        <v/>
      </c>
      <c r="E392" s="31"/>
      <c r="F392" s="31"/>
      <c r="G392" s="32" t="str">
        <f>IF(A392="","",$E$3+SUM($E$9:E392)-SUM($F$9:F392))</f>
        <v/>
      </c>
    </row>
    <row r="393" spans="1:7" x14ac:dyDescent="0.25">
      <c r="A393" s="9"/>
      <c r="B393" s="6" t="str">
        <f t="shared" si="5"/>
        <v/>
      </c>
      <c r="E393" s="31"/>
      <c r="F393" s="31"/>
      <c r="G393" s="32" t="str">
        <f>IF(A393="","",$E$3+SUM($E$9:E393)-SUM($F$9:F393))</f>
        <v/>
      </c>
    </row>
    <row r="394" spans="1:7" x14ac:dyDescent="0.25">
      <c r="A394" s="9"/>
      <c r="B394" s="6" t="str">
        <f t="shared" ref="B394:B457" si="6">IF(A394="","",TEXT(A394,"dddd"))</f>
        <v/>
      </c>
      <c r="E394" s="31"/>
      <c r="F394" s="31"/>
      <c r="G394" s="32" t="str">
        <f>IF(A394="","",$E$3+SUM($E$9:E394)-SUM($F$9:F394))</f>
        <v/>
      </c>
    </row>
    <row r="395" spans="1:7" x14ac:dyDescent="0.25">
      <c r="A395" s="9"/>
      <c r="B395" s="6" t="str">
        <f t="shared" si="6"/>
        <v/>
      </c>
      <c r="E395" s="31"/>
      <c r="F395" s="31"/>
      <c r="G395" s="32" t="str">
        <f>IF(A395="","",$E$3+SUM($E$9:E395)-SUM($F$9:F395))</f>
        <v/>
      </c>
    </row>
    <row r="396" spans="1:7" x14ac:dyDescent="0.25">
      <c r="A396" s="9"/>
      <c r="B396" s="6" t="str">
        <f t="shared" si="6"/>
        <v/>
      </c>
      <c r="E396" s="31"/>
      <c r="F396" s="31"/>
      <c r="G396" s="32" t="str">
        <f>IF(A396="","",$E$3+SUM($E$9:E396)-SUM($F$9:F396))</f>
        <v/>
      </c>
    </row>
    <row r="397" spans="1:7" x14ac:dyDescent="0.25">
      <c r="A397" s="9"/>
      <c r="B397" s="6" t="str">
        <f t="shared" si="6"/>
        <v/>
      </c>
      <c r="E397" s="31"/>
      <c r="F397" s="31"/>
      <c r="G397" s="32" t="str">
        <f>IF(A397="","",$E$3+SUM($E$9:E397)-SUM($F$9:F397))</f>
        <v/>
      </c>
    </row>
    <row r="398" spans="1:7" x14ac:dyDescent="0.25">
      <c r="A398" s="9"/>
      <c r="B398" s="6" t="str">
        <f t="shared" si="6"/>
        <v/>
      </c>
      <c r="E398" s="31"/>
      <c r="F398" s="31"/>
      <c r="G398" s="32" t="str">
        <f>IF(A398="","",$E$3+SUM($E$9:E398)-SUM($F$9:F398))</f>
        <v/>
      </c>
    </row>
    <row r="399" spans="1:7" x14ac:dyDescent="0.25">
      <c r="A399" s="9"/>
      <c r="B399" s="6" t="str">
        <f t="shared" si="6"/>
        <v/>
      </c>
      <c r="E399" s="31"/>
      <c r="F399" s="31"/>
      <c r="G399" s="32" t="str">
        <f>IF(A399="","",$E$3+SUM($E$9:E399)-SUM($F$9:F399))</f>
        <v/>
      </c>
    </row>
    <row r="400" spans="1:7" x14ac:dyDescent="0.25">
      <c r="A400" s="9"/>
      <c r="B400" s="6" t="str">
        <f t="shared" si="6"/>
        <v/>
      </c>
      <c r="E400" s="31"/>
      <c r="F400" s="31"/>
      <c r="G400" s="32" t="str">
        <f>IF(A400="","",$E$3+SUM($E$9:E400)-SUM($F$9:F400))</f>
        <v/>
      </c>
    </row>
    <row r="401" spans="1:7" x14ac:dyDescent="0.25">
      <c r="A401" s="9"/>
      <c r="B401" s="6" t="str">
        <f t="shared" si="6"/>
        <v/>
      </c>
      <c r="E401" s="31"/>
      <c r="F401" s="31"/>
      <c r="G401" s="32" t="str">
        <f>IF(A401="","",$E$3+SUM($E$9:E401)-SUM($F$9:F401))</f>
        <v/>
      </c>
    </row>
    <row r="402" spans="1:7" x14ac:dyDescent="0.25">
      <c r="A402" s="9"/>
      <c r="B402" s="6" t="str">
        <f t="shared" si="6"/>
        <v/>
      </c>
      <c r="E402" s="31"/>
      <c r="F402" s="31"/>
      <c r="G402" s="32" t="str">
        <f>IF(A402="","",$E$3+SUM($E$9:E402)-SUM($F$9:F402))</f>
        <v/>
      </c>
    </row>
    <row r="403" spans="1:7" x14ac:dyDescent="0.25">
      <c r="A403" s="9"/>
      <c r="B403" s="6" t="str">
        <f t="shared" si="6"/>
        <v/>
      </c>
      <c r="E403" s="31"/>
      <c r="F403" s="31"/>
      <c r="G403" s="32" t="str">
        <f>IF(A403="","",$E$3+SUM($E$9:E403)-SUM($F$9:F403))</f>
        <v/>
      </c>
    </row>
    <row r="404" spans="1:7" x14ac:dyDescent="0.25">
      <c r="A404" s="9"/>
      <c r="B404" s="6" t="str">
        <f t="shared" si="6"/>
        <v/>
      </c>
      <c r="E404" s="31"/>
      <c r="F404" s="31"/>
      <c r="G404" s="32" t="str">
        <f>IF(A404="","",$E$3+SUM($E$9:E404)-SUM($F$9:F404))</f>
        <v/>
      </c>
    </row>
    <row r="405" spans="1:7" x14ac:dyDescent="0.25">
      <c r="A405" s="9"/>
      <c r="B405" s="6" t="str">
        <f t="shared" si="6"/>
        <v/>
      </c>
      <c r="E405" s="31"/>
      <c r="F405" s="31"/>
      <c r="G405" s="32" t="str">
        <f>IF(A405="","",$E$3+SUM($E$9:E405)-SUM($F$9:F405))</f>
        <v/>
      </c>
    </row>
    <row r="406" spans="1:7" x14ac:dyDescent="0.25">
      <c r="A406" s="9"/>
      <c r="B406" s="6" t="str">
        <f t="shared" si="6"/>
        <v/>
      </c>
      <c r="E406" s="31"/>
      <c r="F406" s="31"/>
      <c r="G406" s="32" t="str">
        <f>IF(A406="","",$E$3+SUM($E$9:E406)-SUM($F$9:F406))</f>
        <v/>
      </c>
    </row>
    <row r="407" spans="1:7" x14ac:dyDescent="0.25">
      <c r="A407" s="9"/>
      <c r="B407" s="6" t="str">
        <f t="shared" si="6"/>
        <v/>
      </c>
      <c r="E407" s="31"/>
      <c r="F407" s="31"/>
      <c r="G407" s="32" t="str">
        <f>IF(A407="","",$E$3+SUM($E$9:E407)-SUM($F$9:F407))</f>
        <v/>
      </c>
    </row>
    <row r="408" spans="1:7" x14ac:dyDescent="0.25">
      <c r="A408" s="9"/>
      <c r="B408" s="6" t="str">
        <f t="shared" si="6"/>
        <v/>
      </c>
      <c r="E408" s="31"/>
      <c r="F408" s="31"/>
      <c r="G408" s="32" t="str">
        <f>IF(A408="","",$E$3+SUM($E$9:E408)-SUM($F$9:F408))</f>
        <v/>
      </c>
    </row>
    <row r="409" spans="1:7" x14ac:dyDescent="0.25">
      <c r="A409" s="9"/>
      <c r="B409" s="6" t="str">
        <f t="shared" si="6"/>
        <v/>
      </c>
      <c r="E409" s="31"/>
      <c r="F409" s="31"/>
      <c r="G409" s="32" t="str">
        <f>IF(A409="","",$E$3+SUM($E$9:E409)-SUM($F$9:F409))</f>
        <v/>
      </c>
    </row>
    <row r="410" spans="1:7" x14ac:dyDescent="0.25">
      <c r="A410" s="9"/>
      <c r="B410" s="6" t="str">
        <f t="shared" si="6"/>
        <v/>
      </c>
      <c r="E410" s="31"/>
      <c r="F410" s="31"/>
      <c r="G410" s="32" t="str">
        <f>IF(A410="","",$E$3+SUM($E$9:E410)-SUM($F$9:F410))</f>
        <v/>
      </c>
    </row>
    <row r="411" spans="1:7" x14ac:dyDescent="0.25">
      <c r="A411" s="9"/>
      <c r="B411" s="6" t="str">
        <f t="shared" si="6"/>
        <v/>
      </c>
      <c r="E411" s="31"/>
      <c r="F411" s="31"/>
      <c r="G411" s="32" t="str">
        <f>IF(A411="","",$E$3+SUM($E$9:E411)-SUM($F$9:F411))</f>
        <v/>
      </c>
    </row>
    <row r="412" spans="1:7" x14ac:dyDescent="0.25">
      <c r="A412" s="9"/>
      <c r="B412" s="6" t="str">
        <f t="shared" si="6"/>
        <v/>
      </c>
      <c r="E412" s="31"/>
      <c r="F412" s="31"/>
      <c r="G412" s="32" t="str">
        <f>IF(A412="","",$E$3+SUM($E$9:E412)-SUM($F$9:F412))</f>
        <v/>
      </c>
    </row>
    <row r="413" spans="1:7" x14ac:dyDescent="0.25">
      <c r="A413" s="9"/>
      <c r="B413" s="6" t="str">
        <f t="shared" si="6"/>
        <v/>
      </c>
      <c r="E413" s="31"/>
      <c r="F413" s="31"/>
      <c r="G413" s="32" t="str">
        <f>IF(A413="","",$E$3+SUM($E$9:E413)-SUM($F$9:F413))</f>
        <v/>
      </c>
    </row>
    <row r="414" spans="1:7" x14ac:dyDescent="0.25">
      <c r="A414" s="9"/>
      <c r="B414" s="6" t="str">
        <f t="shared" si="6"/>
        <v/>
      </c>
      <c r="E414" s="31"/>
      <c r="F414" s="31"/>
      <c r="G414" s="32" t="str">
        <f>IF(A414="","",$E$3+SUM($E$9:E414)-SUM($F$9:F414))</f>
        <v/>
      </c>
    </row>
    <row r="415" spans="1:7" x14ac:dyDescent="0.25">
      <c r="A415" s="9"/>
      <c r="B415" s="6" t="str">
        <f t="shared" si="6"/>
        <v/>
      </c>
      <c r="E415" s="31"/>
      <c r="F415" s="31"/>
      <c r="G415" s="32" t="str">
        <f>IF(A415="","",$E$3+SUM($E$9:E415)-SUM($F$9:F415))</f>
        <v/>
      </c>
    </row>
    <row r="416" spans="1:7" x14ac:dyDescent="0.25">
      <c r="A416" s="9"/>
      <c r="B416" s="6" t="str">
        <f t="shared" si="6"/>
        <v/>
      </c>
      <c r="E416" s="31"/>
      <c r="F416" s="31"/>
      <c r="G416" s="32" t="str">
        <f>IF(A416="","",$E$3+SUM($E$9:E416)-SUM($F$9:F416))</f>
        <v/>
      </c>
    </row>
    <row r="417" spans="1:7" x14ac:dyDescent="0.25">
      <c r="A417" s="9"/>
      <c r="B417" s="6" t="str">
        <f t="shared" si="6"/>
        <v/>
      </c>
      <c r="E417" s="31"/>
      <c r="F417" s="31"/>
      <c r="G417" s="32" t="str">
        <f>IF(A417="","",$E$3+SUM($E$9:E417)-SUM($F$9:F417))</f>
        <v/>
      </c>
    </row>
    <row r="418" spans="1:7" x14ac:dyDescent="0.25">
      <c r="A418" s="9"/>
      <c r="B418" s="6" t="str">
        <f t="shared" si="6"/>
        <v/>
      </c>
      <c r="E418" s="31"/>
      <c r="F418" s="31"/>
      <c r="G418" s="32" t="str">
        <f>IF(A418="","",$E$3+SUM($E$9:E418)-SUM($F$9:F418))</f>
        <v/>
      </c>
    </row>
    <row r="419" spans="1:7" x14ac:dyDescent="0.25">
      <c r="A419" s="9"/>
      <c r="B419" s="6" t="str">
        <f t="shared" si="6"/>
        <v/>
      </c>
      <c r="E419" s="31"/>
      <c r="F419" s="31"/>
      <c r="G419" s="32" t="str">
        <f>IF(A419="","",$E$3+SUM($E$9:E419)-SUM($F$9:F419))</f>
        <v/>
      </c>
    </row>
    <row r="420" spans="1:7" x14ac:dyDescent="0.25">
      <c r="A420" s="9"/>
      <c r="B420" s="6" t="str">
        <f t="shared" si="6"/>
        <v/>
      </c>
      <c r="E420" s="31"/>
      <c r="F420" s="31"/>
      <c r="G420" s="32" t="str">
        <f>IF(A420="","",$E$3+SUM($E$9:E420)-SUM($F$9:F420))</f>
        <v/>
      </c>
    </row>
    <row r="421" spans="1:7" x14ac:dyDescent="0.25">
      <c r="A421" s="9"/>
      <c r="B421" s="6" t="str">
        <f t="shared" si="6"/>
        <v/>
      </c>
      <c r="E421" s="31"/>
      <c r="F421" s="31"/>
      <c r="G421" s="32" t="str">
        <f>IF(A421="","",$E$3+SUM($E$9:E421)-SUM($F$9:F421))</f>
        <v/>
      </c>
    </row>
    <row r="422" spans="1:7" x14ac:dyDescent="0.25">
      <c r="A422" s="9"/>
      <c r="B422" s="6" t="str">
        <f t="shared" si="6"/>
        <v/>
      </c>
      <c r="E422" s="31"/>
      <c r="F422" s="31"/>
      <c r="G422" s="32" t="str">
        <f>IF(A422="","",$E$3+SUM($E$9:E422)-SUM($F$9:F422))</f>
        <v/>
      </c>
    </row>
    <row r="423" spans="1:7" x14ac:dyDescent="0.25">
      <c r="A423" s="9"/>
      <c r="B423" s="6" t="str">
        <f t="shared" si="6"/>
        <v/>
      </c>
      <c r="E423" s="31"/>
      <c r="F423" s="31"/>
      <c r="G423" s="32" t="str">
        <f>IF(A423="","",$E$3+SUM($E$9:E423)-SUM($F$9:F423))</f>
        <v/>
      </c>
    </row>
    <row r="424" spans="1:7" x14ac:dyDescent="0.25">
      <c r="A424" s="9"/>
      <c r="B424" s="6" t="str">
        <f t="shared" si="6"/>
        <v/>
      </c>
      <c r="E424" s="31"/>
      <c r="F424" s="31"/>
      <c r="G424" s="32" t="str">
        <f>IF(A424="","",$E$3+SUM($E$9:E424)-SUM($F$9:F424))</f>
        <v/>
      </c>
    </row>
    <row r="425" spans="1:7" x14ac:dyDescent="0.25">
      <c r="A425" s="9"/>
      <c r="B425" s="6" t="str">
        <f t="shared" si="6"/>
        <v/>
      </c>
      <c r="E425" s="31"/>
      <c r="F425" s="31"/>
      <c r="G425" s="32" t="str">
        <f>IF(A425="","",$E$3+SUM($E$9:E425)-SUM($F$9:F425))</f>
        <v/>
      </c>
    </row>
    <row r="426" spans="1:7" x14ac:dyDescent="0.25">
      <c r="A426" s="9"/>
      <c r="B426" s="6" t="str">
        <f t="shared" si="6"/>
        <v/>
      </c>
      <c r="E426" s="31"/>
      <c r="F426" s="31"/>
      <c r="G426" s="32" t="str">
        <f>IF(A426="","",$E$3+SUM($E$9:E426)-SUM($F$9:F426))</f>
        <v/>
      </c>
    </row>
    <row r="427" spans="1:7" x14ac:dyDescent="0.25">
      <c r="A427" s="9"/>
      <c r="B427" s="6" t="str">
        <f t="shared" si="6"/>
        <v/>
      </c>
      <c r="E427" s="31"/>
      <c r="F427" s="31"/>
      <c r="G427" s="32" t="str">
        <f>IF(A427="","",$E$3+SUM($E$9:E427)-SUM($F$9:F427))</f>
        <v/>
      </c>
    </row>
    <row r="428" spans="1:7" x14ac:dyDescent="0.25">
      <c r="A428" s="9"/>
      <c r="B428" s="6" t="str">
        <f t="shared" si="6"/>
        <v/>
      </c>
      <c r="E428" s="31"/>
      <c r="F428" s="31"/>
      <c r="G428" s="32" t="str">
        <f>IF(A428="","",$E$3+SUM($E$9:E428)-SUM($F$9:F428))</f>
        <v/>
      </c>
    </row>
    <row r="429" spans="1:7" x14ac:dyDescent="0.25">
      <c r="A429" s="9"/>
      <c r="B429" s="6" t="str">
        <f t="shared" si="6"/>
        <v/>
      </c>
      <c r="E429" s="31"/>
      <c r="F429" s="31"/>
      <c r="G429" s="32" t="str">
        <f>IF(A429="","",$E$3+SUM($E$9:E429)-SUM($F$9:F429))</f>
        <v/>
      </c>
    </row>
    <row r="430" spans="1:7" x14ac:dyDescent="0.25">
      <c r="A430" s="9"/>
      <c r="B430" s="6" t="str">
        <f t="shared" si="6"/>
        <v/>
      </c>
      <c r="E430" s="31"/>
      <c r="F430" s="31"/>
      <c r="G430" s="32" t="str">
        <f>IF(A430="","",$E$3+SUM($E$9:E430)-SUM($F$9:F430))</f>
        <v/>
      </c>
    </row>
    <row r="431" spans="1:7" x14ac:dyDescent="0.25">
      <c r="A431" s="9"/>
      <c r="B431" s="6" t="str">
        <f t="shared" si="6"/>
        <v/>
      </c>
      <c r="E431" s="31"/>
      <c r="F431" s="31"/>
      <c r="G431" s="32" t="str">
        <f>IF(A431="","",$E$3+SUM($E$9:E431)-SUM($F$9:F431))</f>
        <v/>
      </c>
    </row>
    <row r="432" spans="1:7" x14ac:dyDescent="0.25">
      <c r="A432" s="9"/>
      <c r="B432" s="6" t="str">
        <f t="shared" si="6"/>
        <v/>
      </c>
      <c r="E432" s="31"/>
      <c r="F432" s="31"/>
      <c r="G432" s="32" t="str">
        <f>IF(A432="","",$E$3+SUM($E$9:E432)-SUM($F$9:F432))</f>
        <v/>
      </c>
    </row>
    <row r="433" spans="1:7" x14ac:dyDescent="0.25">
      <c r="A433" s="9"/>
      <c r="B433" s="6" t="str">
        <f t="shared" si="6"/>
        <v/>
      </c>
      <c r="E433" s="31"/>
      <c r="F433" s="31"/>
      <c r="G433" s="32" t="str">
        <f>IF(A433="","",$E$3+SUM($E$9:E433)-SUM($F$9:F433))</f>
        <v/>
      </c>
    </row>
    <row r="434" spans="1:7" x14ac:dyDescent="0.25">
      <c r="A434" s="9"/>
      <c r="B434" s="6" t="str">
        <f t="shared" si="6"/>
        <v/>
      </c>
      <c r="E434" s="31"/>
      <c r="F434" s="31"/>
      <c r="G434" s="32" t="str">
        <f>IF(A434="","",$E$3+SUM($E$9:E434)-SUM($F$9:F434))</f>
        <v/>
      </c>
    </row>
    <row r="435" spans="1:7" x14ac:dyDescent="0.25">
      <c r="A435" s="9"/>
      <c r="B435" s="6" t="str">
        <f t="shared" si="6"/>
        <v/>
      </c>
      <c r="E435" s="31"/>
      <c r="F435" s="31"/>
      <c r="G435" s="32" t="str">
        <f>IF(A435="","",$E$3+SUM($E$9:E435)-SUM($F$9:F435))</f>
        <v/>
      </c>
    </row>
    <row r="436" spans="1:7" x14ac:dyDescent="0.25">
      <c r="A436" s="9"/>
      <c r="B436" s="6" t="str">
        <f t="shared" si="6"/>
        <v/>
      </c>
      <c r="E436" s="31"/>
      <c r="F436" s="31"/>
      <c r="G436" s="32" t="str">
        <f>IF(A436="","",$E$3+SUM($E$9:E436)-SUM($F$9:F436))</f>
        <v/>
      </c>
    </row>
    <row r="437" spans="1:7" x14ac:dyDescent="0.25">
      <c r="A437" s="9"/>
      <c r="B437" s="6" t="str">
        <f t="shared" si="6"/>
        <v/>
      </c>
      <c r="E437" s="31"/>
      <c r="F437" s="31"/>
      <c r="G437" s="32" t="str">
        <f>IF(A437="","",$E$3+SUM($E$9:E437)-SUM($F$9:F437))</f>
        <v/>
      </c>
    </row>
    <row r="438" spans="1:7" x14ac:dyDescent="0.25">
      <c r="A438" s="9"/>
      <c r="B438" s="6" t="str">
        <f t="shared" si="6"/>
        <v/>
      </c>
      <c r="E438" s="31"/>
      <c r="F438" s="31"/>
      <c r="G438" s="32" t="str">
        <f>IF(A438="","",$E$3+SUM($E$9:E438)-SUM($F$9:F438))</f>
        <v/>
      </c>
    </row>
    <row r="439" spans="1:7" x14ac:dyDescent="0.25">
      <c r="A439" s="9"/>
      <c r="B439" s="6" t="str">
        <f t="shared" si="6"/>
        <v/>
      </c>
      <c r="E439" s="31"/>
      <c r="F439" s="31"/>
      <c r="G439" s="32" t="str">
        <f>IF(A439="","",$E$3+SUM($E$9:E439)-SUM($F$9:F439))</f>
        <v/>
      </c>
    </row>
    <row r="440" spans="1:7" x14ac:dyDescent="0.25">
      <c r="A440" s="9"/>
      <c r="B440" s="6" t="str">
        <f t="shared" si="6"/>
        <v/>
      </c>
      <c r="E440" s="31"/>
      <c r="F440" s="31"/>
      <c r="G440" s="32" t="str">
        <f>IF(A440="","",$E$3+SUM($E$9:E440)-SUM($F$9:F440))</f>
        <v/>
      </c>
    </row>
    <row r="441" spans="1:7" x14ac:dyDescent="0.25">
      <c r="A441" s="9"/>
      <c r="B441" s="6" t="str">
        <f t="shared" si="6"/>
        <v/>
      </c>
      <c r="E441" s="31"/>
      <c r="F441" s="31"/>
      <c r="G441" s="32" t="str">
        <f>IF(A441="","",$E$3+SUM($E$9:E441)-SUM($F$9:F441))</f>
        <v/>
      </c>
    </row>
    <row r="442" spans="1:7" x14ac:dyDescent="0.25">
      <c r="A442" s="9"/>
      <c r="B442" s="6" t="str">
        <f t="shared" si="6"/>
        <v/>
      </c>
      <c r="E442" s="31"/>
      <c r="F442" s="31"/>
      <c r="G442" s="32" t="str">
        <f>IF(A442="","",$E$3+SUM($E$9:E442)-SUM($F$9:F442))</f>
        <v/>
      </c>
    </row>
    <row r="443" spans="1:7" x14ac:dyDescent="0.25">
      <c r="A443" s="9"/>
      <c r="B443" s="6" t="str">
        <f t="shared" si="6"/>
        <v/>
      </c>
      <c r="E443" s="31"/>
      <c r="F443" s="31"/>
      <c r="G443" s="32" t="str">
        <f>IF(A443="","",$E$3+SUM($E$9:E443)-SUM($F$9:F443))</f>
        <v/>
      </c>
    </row>
    <row r="444" spans="1:7" x14ac:dyDescent="0.25">
      <c r="A444" s="9"/>
      <c r="B444" s="6" t="str">
        <f t="shared" si="6"/>
        <v/>
      </c>
      <c r="E444" s="31"/>
      <c r="F444" s="31"/>
      <c r="G444" s="32" t="str">
        <f>IF(A444="","",$E$3+SUM($E$9:E444)-SUM($F$9:F444))</f>
        <v/>
      </c>
    </row>
    <row r="445" spans="1:7" x14ac:dyDescent="0.25">
      <c r="A445" s="9"/>
      <c r="B445" s="6" t="str">
        <f t="shared" si="6"/>
        <v/>
      </c>
      <c r="E445" s="31"/>
      <c r="F445" s="31"/>
      <c r="G445" s="32" t="str">
        <f>IF(A445="","",$E$3+SUM($E$9:E445)-SUM($F$9:F445))</f>
        <v/>
      </c>
    </row>
    <row r="446" spans="1:7" x14ac:dyDescent="0.25">
      <c r="A446" s="9"/>
      <c r="B446" s="6" t="str">
        <f t="shared" si="6"/>
        <v/>
      </c>
      <c r="E446" s="31"/>
      <c r="F446" s="31"/>
      <c r="G446" s="32" t="str">
        <f>IF(A446="","",$E$3+SUM($E$9:E446)-SUM($F$9:F446))</f>
        <v/>
      </c>
    </row>
    <row r="447" spans="1:7" x14ac:dyDescent="0.25">
      <c r="A447" s="9"/>
      <c r="B447" s="6" t="str">
        <f t="shared" si="6"/>
        <v/>
      </c>
      <c r="E447" s="31"/>
      <c r="F447" s="31"/>
      <c r="G447" s="32" t="str">
        <f>IF(A447="","",$E$3+SUM($E$9:E447)-SUM($F$9:F447))</f>
        <v/>
      </c>
    </row>
    <row r="448" spans="1:7" x14ac:dyDescent="0.25">
      <c r="A448" s="9"/>
      <c r="B448" s="6" t="str">
        <f t="shared" si="6"/>
        <v/>
      </c>
      <c r="E448" s="31"/>
      <c r="F448" s="31"/>
      <c r="G448" s="32" t="str">
        <f>IF(A448="","",$E$3+SUM($E$9:E448)-SUM($F$9:F448))</f>
        <v/>
      </c>
    </row>
    <row r="449" spans="1:7" x14ac:dyDescent="0.25">
      <c r="A449" s="9"/>
      <c r="B449" s="6" t="str">
        <f t="shared" si="6"/>
        <v/>
      </c>
      <c r="E449" s="31"/>
      <c r="F449" s="31"/>
      <c r="G449" s="32" t="str">
        <f>IF(A449="","",$E$3+SUM($E$9:E449)-SUM($F$9:F449))</f>
        <v/>
      </c>
    </row>
    <row r="450" spans="1:7" x14ac:dyDescent="0.25">
      <c r="A450" s="9"/>
      <c r="B450" s="6" t="str">
        <f t="shared" si="6"/>
        <v/>
      </c>
      <c r="E450" s="31"/>
      <c r="F450" s="31"/>
      <c r="G450" s="32" t="str">
        <f>IF(A450="","",$E$3+SUM($E$9:E450)-SUM($F$9:F450))</f>
        <v/>
      </c>
    </row>
    <row r="451" spans="1:7" x14ac:dyDescent="0.25">
      <c r="A451" s="9"/>
      <c r="B451" s="6" t="str">
        <f t="shared" si="6"/>
        <v/>
      </c>
      <c r="E451" s="31"/>
      <c r="F451" s="31"/>
      <c r="G451" s="32" t="str">
        <f>IF(A451="","",$E$3+SUM($E$9:E451)-SUM($F$9:F451))</f>
        <v/>
      </c>
    </row>
    <row r="452" spans="1:7" x14ac:dyDescent="0.25">
      <c r="A452" s="9"/>
      <c r="B452" s="6" t="str">
        <f t="shared" si="6"/>
        <v/>
      </c>
      <c r="E452" s="31"/>
      <c r="F452" s="31"/>
      <c r="G452" s="32" t="str">
        <f>IF(A452="","",$E$3+SUM($E$9:E452)-SUM($F$9:F452))</f>
        <v/>
      </c>
    </row>
    <row r="453" spans="1:7" x14ac:dyDescent="0.25">
      <c r="A453" s="9"/>
      <c r="B453" s="6" t="str">
        <f t="shared" si="6"/>
        <v/>
      </c>
      <c r="E453" s="31"/>
      <c r="F453" s="31"/>
      <c r="G453" s="32" t="str">
        <f>IF(A453="","",$E$3+SUM($E$9:E453)-SUM($F$9:F453))</f>
        <v/>
      </c>
    </row>
    <row r="454" spans="1:7" x14ac:dyDescent="0.25">
      <c r="A454" s="9"/>
      <c r="B454" s="6" t="str">
        <f t="shared" si="6"/>
        <v/>
      </c>
      <c r="E454" s="31"/>
      <c r="F454" s="31"/>
      <c r="G454" s="32" t="str">
        <f>IF(A454="","",$E$3+SUM($E$9:E454)-SUM($F$9:F454))</f>
        <v/>
      </c>
    </row>
    <row r="455" spans="1:7" x14ac:dyDescent="0.25">
      <c r="A455" s="9"/>
      <c r="B455" s="6" t="str">
        <f t="shared" si="6"/>
        <v/>
      </c>
      <c r="E455" s="31"/>
      <c r="F455" s="31"/>
      <c r="G455" s="32" t="str">
        <f>IF(A455="","",$E$3+SUM($E$9:E455)-SUM($F$9:F455))</f>
        <v/>
      </c>
    </row>
    <row r="456" spans="1:7" x14ac:dyDescent="0.25">
      <c r="A456" s="9"/>
      <c r="B456" s="6" t="str">
        <f t="shared" si="6"/>
        <v/>
      </c>
      <c r="E456" s="31"/>
      <c r="F456" s="31"/>
      <c r="G456" s="32" t="str">
        <f>IF(A456="","",$E$3+SUM($E$9:E456)-SUM($F$9:F456))</f>
        <v/>
      </c>
    </row>
    <row r="457" spans="1:7" x14ac:dyDescent="0.25">
      <c r="A457" s="9"/>
      <c r="B457" s="6" t="str">
        <f t="shared" si="6"/>
        <v/>
      </c>
      <c r="E457" s="31"/>
      <c r="F457" s="31"/>
      <c r="G457" s="32" t="str">
        <f>IF(A457="","",$E$3+SUM($E$9:E457)-SUM($F$9:F457))</f>
        <v/>
      </c>
    </row>
    <row r="458" spans="1:7" x14ac:dyDescent="0.25">
      <c r="A458" s="9"/>
      <c r="B458" s="6" t="str">
        <f t="shared" ref="B458:B508" si="7">IF(A458="","",TEXT(A458,"dddd"))</f>
        <v/>
      </c>
      <c r="E458" s="31"/>
      <c r="F458" s="31"/>
      <c r="G458" s="32" t="str">
        <f>IF(A458="","",$E$3+SUM($E$9:E458)-SUM($F$9:F458))</f>
        <v/>
      </c>
    </row>
    <row r="459" spans="1:7" x14ac:dyDescent="0.25">
      <c r="A459" s="9"/>
      <c r="B459" s="6" t="str">
        <f t="shared" si="7"/>
        <v/>
      </c>
      <c r="E459" s="31"/>
      <c r="F459" s="31"/>
      <c r="G459" s="32" t="str">
        <f>IF(A459="","",$E$3+SUM($E$9:E459)-SUM($F$9:F459))</f>
        <v/>
      </c>
    </row>
    <row r="460" spans="1:7" x14ac:dyDescent="0.25">
      <c r="A460" s="9"/>
      <c r="B460" s="6" t="str">
        <f t="shared" si="7"/>
        <v/>
      </c>
      <c r="E460" s="31"/>
      <c r="F460" s="31"/>
      <c r="G460" s="32" t="str">
        <f>IF(A460="","",$E$3+SUM($E$9:E460)-SUM($F$9:F460))</f>
        <v/>
      </c>
    </row>
    <row r="461" spans="1:7" x14ac:dyDescent="0.25">
      <c r="A461" s="9"/>
      <c r="B461" s="6" t="str">
        <f t="shared" si="7"/>
        <v/>
      </c>
      <c r="E461" s="31"/>
      <c r="F461" s="31"/>
      <c r="G461" s="32" t="str">
        <f>IF(A461="","",$E$3+SUM($E$9:E461)-SUM($F$9:F461))</f>
        <v/>
      </c>
    </row>
    <row r="462" spans="1:7" x14ac:dyDescent="0.25">
      <c r="A462" s="9"/>
      <c r="B462" s="6" t="str">
        <f t="shared" si="7"/>
        <v/>
      </c>
      <c r="E462" s="31"/>
      <c r="F462" s="31"/>
      <c r="G462" s="32" t="str">
        <f>IF(A462="","",$E$3+SUM($E$9:E462)-SUM($F$9:F462))</f>
        <v/>
      </c>
    </row>
    <row r="463" spans="1:7" x14ac:dyDescent="0.25">
      <c r="A463" s="9"/>
      <c r="B463" s="6" t="str">
        <f t="shared" si="7"/>
        <v/>
      </c>
      <c r="E463" s="31"/>
      <c r="F463" s="31"/>
      <c r="G463" s="32" t="str">
        <f>IF(A463="","",$E$3+SUM($E$9:E463)-SUM($F$9:F463))</f>
        <v/>
      </c>
    </row>
    <row r="464" spans="1:7" x14ac:dyDescent="0.25">
      <c r="A464" s="9"/>
      <c r="B464" s="6" t="str">
        <f t="shared" si="7"/>
        <v/>
      </c>
      <c r="E464" s="31"/>
      <c r="F464" s="31"/>
      <c r="G464" s="32" t="str">
        <f>IF(A464="","",$E$3+SUM($E$9:E464)-SUM($F$9:F464))</f>
        <v/>
      </c>
    </row>
    <row r="465" spans="1:7" x14ac:dyDescent="0.25">
      <c r="A465" s="9"/>
      <c r="B465" s="6" t="str">
        <f t="shared" si="7"/>
        <v/>
      </c>
      <c r="E465" s="31"/>
      <c r="F465" s="31"/>
      <c r="G465" s="32" t="str">
        <f>IF(A465="","",$E$3+SUM($E$9:E465)-SUM($F$9:F465))</f>
        <v/>
      </c>
    </row>
    <row r="466" spans="1:7" x14ac:dyDescent="0.25">
      <c r="A466" s="9"/>
      <c r="B466" s="6" t="str">
        <f t="shared" si="7"/>
        <v/>
      </c>
      <c r="E466" s="31"/>
      <c r="F466" s="31"/>
      <c r="G466" s="32" t="str">
        <f>IF(A466="","",$E$3+SUM($E$9:E466)-SUM($F$9:F466))</f>
        <v/>
      </c>
    </row>
    <row r="467" spans="1:7" x14ac:dyDescent="0.25">
      <c r="A467" s="9"/>
      <c r="B467" s="6" t="str">
        <f t="shared" si="7"/>
        <v/>
      </c>
      <c r="E467" s="31"/>
      <c r="F467" s="31"/>
      <c r="G467" s="32" t="str">
        <f>IF(A467="","",$E$3+SUM($E$9:E467)-SUM($F$9:F467))</f>
        <v/>
      </c>
    </row>
    <row r="468" spans="1:7" x14ac:dyDescent="0.25">
      <c r="A468" s="9"/>
      <c r="B468" s="6" t="str">
        <f t="shared" si="7"/>
        <v/>
      </c>
      <c r="E468" s="31"/>
      <c r="F468" s="31"/>
      <c r="G468" s="32" t="str">
        <f>IF(A468="","",$E$3+SUM($E$9:E468)-SUM($F$9:F468))</f>
        <v/>
      </c>
    </row>
    <row r="469" spans="1:7" x14ac:dyDescent="0.25">
      <c r="A469" s="9"/>
      <c r="B469" s="6" t="str">
        <f t="shared" si="7"/>
        <v/>
      </c>
      <c r="E469" s="31"/>
      <c r="F469" s="31"/>
      <c r="G469" s="32" t="str">
        <f>IF(A469="","",$E$3+SUM($E$9:E469)-SUM($F$9:F469))</f>
        <v/>
      </c>
    </row>
    <row r="470" spans="1:7" x14ac:dyDescent="0.25">
      <c r="A470" s="9"/>
      <c r="B470" s="6" t="str">
        <f t="shared" si="7"/>
        <v/>
      </c>
      <c r="E470" s="31"/>
      <c r="F470" s="31"/>
      <c r="G470" s="32" t="str">
        <f>IF(A470="","",$E$3+SUM($E$9:E470)-SUM($F$9:F470))</f>
        <v/>
      </c>
    </row>
    <row r="471" spans="1:7" x14ac:dyDescent="0.25">
      <c r="A471" s="9"/>
      <c r="B471" s="6" t="str">
        <f t="shared" si="7"/>
        <v/>
      </c>
      <c r="E471" s="31"/>
      <c r="F471" s="31"/>
      <c r="G471" s="32" t="str">
        <f>IF(A471="","",$E$3+SUM($E$9:E471)-SUM($F$9:F471))</f>
        <v/>
      </c>
    </row>
    <row r="472" spans="1:7" x14ac:dyDescent="0.25">
      <c r="A472" s="9"/>
      <c r="B472" s="6" t="str">
        <f t="shared" si="7"/>
        <v/>
      </c>
      <c r="E472" s="31"/>
      <c r="F472" s="31"/>
      <c r="G472" s="32" t="str">
        <f>IF(A472="","",$E$3+SUM($E$9:E472)-SUM($F$9:F472))</f>
        <v/>
      </c>
    </row>
    <row r="473" spans="1:7" x14ac:dyDescent="0.25">
      <c r="A473" s="9"/>
      <c r="B473" s="6" t="str">
        <f t="shared" si="7"/>
        <v/>
      </c>
      <c r="E473" s="31"/>
      <c r="F473" s="31"/>
      <c r="G473" s="32" t="str">
        <f>IF(A473="","",$E$3+SUM($E$9:E473)-SUM($F$9:F473))</f>
        <v/>
      </c>
    </row>
    <row r="474" spans="1:7" x14ac:dyDescent="0.25">
      <c r="A474" s="9"/>
      <c r="B474" s="6" t="str">
        <f t="shared" si="7"/>
        <v/>
      </c>
      <c r="E474" s="31"/>
      <c r="F474" s="31"/>
      <c r="G474" s="32" t="str">
        <f>IF(A474="","",$E$3+SUM($E$9:E474)-SUM($F$9:F474))</f>
        <v/>
      </c>
    </row>
    <row r="475" spans="1:7" x14ac:dyDescent="0.25">
      <c r="A475" s="9"/>
      <c r="B475" s="6" t="str">
        <f t="shared" si="7"/>
        <v/>
      </c>
      <c r="E475" s="31"/>
      <c r="F475" s="31"/>
      <c r="G475" s="32" t="str">
        <f>IF(A475="","",$E$3+SUM($E$9:E475)-SUM($F$9:F475))</f>
        <v/>
      </c>
    </row>
    <row r="476" spans="1:7" x14ac:dyDescent="0.25">
      <c r="A476" s="9"/>
      <c r="B476" s="6" t="str">
        <f t="shared" si="7"/>
        <v/>
      </c>
      <c r="E476" s="31"/>
      <c r="F476" s="31"/>
      <c r="G476" s="32" t="str">
        <f>IF(A476="","",$E$3+SUM($E$9:E476)-SUM($F$9:F476))</f>
        <v/>
      </c>
    </row>
    <row r="477" spans="1:7" x14ac:dyDescent="0.25">
      <c r="A477" s="9"/>
      <c r="B477" s="6" t="str">
        <f t="shared" si="7"/>
        <v/>
      </c>
      <c r="E477" s="31"/>
      <c r="F477" s="31"/>
      <c r="G477" s="32" t="str">
        <f>IF(A477="","",$E$3+SUM($E$9:E477)-SUM($F$9:F477))</f>
        <v/>
      </c>
    </row>
    <row r="478" spans="1:7" x14ac:dyDescent="0.25">
      <c r="A478" s="9"/>
      <c r="B478" s="6" t="str">
        <f t="shared" si="7"/>
        <v/>
      </c>
      <c r="E478" s="31"/>
      <c r="F478" s="31"/>
      <c r="G478" s="32" t="str">
        <f>IF(A478="","",$E$3+SUM($E$9:E478)-SUM($F$9:F478))</f>
        <v/>
      </c>
    </row>
    <row r="479" spans="1:7" x14ac:dyDescent="0.25">
      <c r="A479" s="9"/>
      <c r="B479" s="6" t="str">
        <f t="shared" si="7"/>
        <v/>
      </c>
      <c r="E479" s="31"/>
      <c r="F479" s="31"/>
      <c r="G479" s="32" t="str">
        <f>IF(A479="","",$E$3+SUM($E$9:E479)-SUM($F$9:F479))</f>
        <v/>
      </c>
    </row>
    <row r="480" spans="1:7" x14ac:dyDescent="0.25">
      <c r="A480" s="9"/>
      <c r="B480" s="6" t="str">
        <f t="shared" si="7"/>
        <v/>
      </c>
      <c r="E480" s="31"/>
      <c r="F480" s="31"/>
      <c r="G480" s="32" t="str">
        <f>IF(A480="","",$E$3+SUM($E$9:E480)-SUM($F$9:F480))</f>
        <v/>
      </c>
    </row>
    <row r="481" spans="1:7" x14ac:dyDescent="0.25">
      <c r="A481" s="9"/>
      <c r="B481" s="6" t="str">
        <f t="shared" si="7"/>
        <v/>
      </c>
      <c r="E481" s="31"/>
      <c r="F481" s="31"/>
      <c r="G481" s="32" t="str">
        <f>IF(A481="","",$E$3+SUM($E$9:E481)-SUM($F$9:F481))</f>
        <v/>
      </c>
    </row>
    <row r="482" spans="1:7" x14ac:dyDescent="0.25">
      <c r="A482" s="9"/>
      <c r="B482" s="6" t="str">
        <f t="shared" si="7"/>
        <v/>
      </c>
      <c r="E482" s="31"/>
      <c r="F482" s="31"/>
      <c r="G482" s="32" t="str">
        <f>IF(A482="","",$E$3+SUM($E$9:E482)-SUM($F$9:F482))</f>
        <v/>
      </c>
    </row>
    <row r="483" spans="1:7" x14ac:dyDescent="0.25">
      <c r="A483" s="9"/>
      <c r="B483" s="6" t="str">
        <f t="shared" si="7"/>
        <v/>
      </c>
      <c r="E483" s="31"/>
      <c r="F483" s="31"/>
      <c r="G483" s="32" t="str">
        <f>IF(A483="","",$E$3+SUM($E$9:E483)-SUM($F$9:F483))</f>
        <v/>
      </c>
    </row>
    <row r="484" spans="1:7" x14ac:dyDescent="0.25">
      <c r="A484" s="9"/>
      <c r="B484" s="6" t="str">
        <f t="shared" si="7"/>
        <v/>
      </c>
      <c r="E484" s="31"/>
      <c r="F484" s="31"/>
      <c r="G484" s="32" t="str">
        <f>IF(A484="","",$E$3+SUM($E$9:E484)-SUM($F$9:F484))</f>
        <v/>
      </c>
    </row>
    <row r="485" spans="1:7" x14ac:dyDescent="0.25">
      <c r="A485" s="9"/>
      <c r="B485" s="6" t="str">
        <f t="shared" si="7"/>
        <v/>
      </c>
      <c r="E485" s="31"/>
      <c r="F485" s="31"/>
      <c r="G485" s="32" t="str">
        <f>IF(A485="","",$E$3+SUM($E$9:E485)-SUM($F$9:F485))</f>
        <v/>
      </c>
    </row>
    <row r="486" spans="1:7" x14ac:dyDescent="0.25">
      <c r="A486" s="9"/>
      <c r="B486" s="6" t="str">
        <f t="shared" si="7"/>
        <v/>
      </c>
      <c r="E486" s="31"/>
      <c r="F486" s="31"/>
      <c r="G486" s="32" t="str">
        <f>IF(A486="","",$E$3+SUM($E$9:E486)-SUM($F$9:F486))</f>
        <v/>
      </c>
    </row>
    <row r="487" spans="1:7" x14ac:dyDescent="0.25">
      <c r="A487" s="9"/>
      <c r="B487" s="6" t="str">
        <f t="shared" si="7"/>
        <v/>
      </c>
      <c r="E487" s="31"/>
      <c r="F487" s="31"/>
      <c r="G487" s="32" t="str">
        <f>IF(A487="","",$E$3+SUM($E$9:E487)-SUM($F$9:F487))</f>
        <v/>
      </c>
    </row>
    <row r="488" spans="1:7" x14ac:dyDescent="0.25">
      <c r="A488" s="9"/>
      <c r="B488" s="6" t="str">
        <f t="shared" si="7"/>
        <v/>
      </c>
      <c r="E488" s="31"/>
      <c r="F488" s="31"/>
      <c r="G488" s="32" t="str">
        <f>IF(A488="","",$E$3+SUM($E$9:E488)-SUM($F$9:F488))</f>
        <v/>
      </c>
    </row>
    <row r="489" spans="1:7" x14ac:dyDescent="0.25">
      <c r="A489" s="9"/>
      <c r="B489" s="6" t="str">
        <f t="shared" si="7"/>
        <v/>
      </c>
      <c r="E489" s="31"/>
      <c r="F489" s="31"/>
      <c r="G489" s="32" t="str">
        <f>IF(A489="","",$E$3+SUM($E$9:E489)-SUM($F$9:F489))</f>
        <v/>
      </c>
    </row>
    <row r="490" spans="1:7" x14ac:dyDescent="0.25">
      <c r="A490" s="9"/>
      <c r="B490" s="6" t="str">
        <f t="shared" si="7"/>
        <v/>
      </c>
      <c r="E490" s="31"/>
      <c r="F490" s="31"/>
      <c r="G490" s="32" t="str">
        <f>IF(A490="","",$E$3+SUM($E$9:E490)-SUM($F$9:F490))</f>
        <v/>
      </c>
    </row>
    <row r="491" spans="1:7" x14ac:dyDescent="0.25">
      <c r="A491" s="9"/>
      <c r="B491" s="6" t="str">
        <f t="shared" si="7"/>
        <v/>
      </c>
      <c r="E491" s="31"/>
      <c r="F491" s="31"/>
      <c r="G491" s="32" t="str">
        <f>IF(A491="","",$E$3+SUM($E$9:E491)-SUM($F$9:F491))</f>
        <v/>
      </c>
    </row>
    <row r="492" spans="1:7" x14ac:dyDescent="0.25">
      <c r="A492" s="9"/>
      <c r="B492" s="6" t="str">
        <f t="shared" si="7"/>
        <v/>
      </c>
      <c r="E492" s="31"/>
      <c r="F492" s="31"/>
      <c r="G492" s="32" t="str">
        <f>IF(A492="","",$E$3+SUM($E$9:E492)-SUM($F$9:F492))</f>
        <v/>
      </c>
    </row>
    <row r="493" spans="1:7" x14ac:dyDescent="0.25">
      <c r="A493" s="9"/>
      <c r="B493" s="6" t="str">
        <f t="shared" si="7"/>
        <v/>
      </c>
      <c r="E493" s="31"/>
      <c r="F493" s="31"/>
      <c r="G493" s="32" t="str">
        <f>IF(A493="","",$E$3+SUM($E$9:E493)-SUM($F$9:F493))</f>
        <v/>
      </c>
    </row>
    <row r="494" spans="1:7" x14ac:dyDescent="0.25">
      <c r="A494" s="9"/>
      <c r="B494" s="6" t="str">
        <f t="shared" si="7"/>
        <v/>
      </c>
      <c r="E494" s="31"/>
      <c r="F494" s="31"/>
      <c r="G494" s="32" t="str">
        <f>IF(A494="","",$E$3+SUM($E$9:E494)-SUM($F$9:F494))</f>
        <v/>
      </c>
    </row>
    <row r="495" spans="1:7" x14ac:dyDescent="0.25">
      <c r="A495" s="9"/>
      <c r="B495" s="6" t="str">
        <f t="shared" si="7"/>
        <v/>
      </c>
      <c r="E495" s="31"/>
      <c r="F495" s="31"/>
      <c r="G495" s="32" t="str">
        <f>IF(A495="","",$E$3+SUM($E$9:E495)-SUM($F$9:F495))</f>
        <v/>
      </c>
    </row>
    <row r="496" spans="1:7" x14ac:dyDescent="0.25">
      <c r="A496" s="9"/>
      <c r="B496" s="6" t="str">
        <f t="shared" si="7"/>
        <v/>
      </c>
      <c r="E496" s="31"/>
      <c r="F496" s="31"/>
      <c r="G496" s="32" t="str">
        <f>IF(A496="","",$E$3+SUM($E$9:E496)-SUM($F$9:F496))</f>
        <v/>
      </c>
    </row>
    <row r="497" spans="1:7" x14ac:dyDescent="0.25">
      <c r="A497" s="9"/>
      <c r="B497" s="6" t="str">
        <f t="shared" si="7"/>
        <v/>
      </c>
      <c r="E497" s="31"/>
      <c r="F497" s="31"/>
      <c r="G497" s="32" t="str">
        <f>IF(A497="","",$E$3+SUM($E$9:E497)-SUM($F$9:F497))</f>
        <v/>
      </c>
    </row>
    <row r="498" spans="1:7" x14ac:dyDescent="0.25">
      <c r="A498" s="9"/>
      <c r="B498" s="6" t="str">
        <f t="shared" si="7"/>
        <v/>
      </c>
      <c r="E498" s="31"/>
      <c r="F498" s="31"/>
      <c r="G498" s="32" t="str">
        <f>IF(A498="","",$E$3+SUM($E$9:E498)-SUM($F$9:F498))</f>
        <v/>
      </c>
    </row>
    <row r="499" spans="1:7" x14ac:dyDescent="0.25">
      <c r="A499" s="9"/>
      <c r="B499" s="6" t="str">
        <f t="shared" si="7"/>
        <v/>
      </c>
      <c r="E499" s="31"/>
      <c r="F499" s="31"/>
      <c r="G499" s="32" t="str">
        <f>IF(A499="","",$E$3+SUM($E$9:E499)-SUM($F$9:F499))</f>
        <v/>
      </c>
    </row>
    <row r="500" spans="1:7" x14ac:dyDescent="0.25">
      <c r="A500" s="9"/>
      <c r="B500" s="6" t="str">
        <f t="shared" si="7"/>
        <v/>
      </c>
      <c r="E500" s="31"/>
      <c r="F500" s="31"/>
      <c r="G500" s="32" t="str">
        <f>IF(A500="","",$E$3+SUM($E$9:E500)-SUM($F$9:F500))</f>
        <v/>
      </c>
    </row>
    <row r="501" spans="1:7" x14ac:dyDescent="0.25">
      <c r="A501" s="9"/>
      <c r="B501" s="6" t="str">
        <f t="shared" si="7"/>
        <v/>
      </c>
      <c r="E501" s="31"/>
      <c r="F501" s="31"/>
      <c r="G501" s="32" t="str">
        <f>IF(A501="","",$E$3+SUM($E$9:E501)-SUM($F$9:F501))</f>
        <v/>
      </c>
    </row>
    <row r="502" spans="1:7" x14ac:dyDescent="0.25">
      <c r="A502" s="9"/>
      <c r="B502" s="6" t="str">
        <f t="shared" si="7"/>
        <v/>
      </c>
      <c r="E502" s="31"/>
      <c r="F502" s="31"/>
      <c r="G502" s="32" t="str">
        <f>IF(A502="","",$E$3+SUM($E$9:E502)-SUM($F$9:F502))</f>
        <v/>
      </c>
    </row>
    <row r="503" spans="1:7" x14ac:dyDescent="0.25">
      <c r="A503" s="9"/>
      <c r="B503" s="6" t="str">
        <f t="shared" si="7"/>
        <v/>
      </c>
      <c r="E503" s="31"/>
      <c r="F503" s="31"/>
      <c r="G503" s="32" t="str">
        <f>IF(A503="","",$E$3+SUM($E$9:E503)-SUM($F$9:F503))</f>
        <v/>
      </c>
    </row>
    <row r="504" spans="1:7" x14ac:dyDescent="0.25">
      <c r="A504" s="9"/>
      <c r="B504" s="6" t="str">
        <f t="shared" si="7"/>
        <v/>
      </c>
      <c r="E504" s="31"/>
      <c r="F504" s="31"/>
      <c r="G504" s="32" t="str">
        <f>IF(A504="","",$E$3+SUM($E$9:E504)-SUM($F$9:F504))</f>
        <v/>
      </c>
    </row>
    <row r="505" spans="1:7" x14ac:dyDescent="0.25">
      <c r="A505" s="9"/>
      <c r="B505" s="6" t="str">
        <f t="shared" si="7"/>
        <v/>
      </c>
      <c r="E505" s="31"/>
      <c r="F505" s="31"/>
      <c r="G505" s="32" t="str">
        <f>IF(A505="","",$E$3+SUM($E$9:E505)-SUM($F$9:F505))</f>
        <v/>
      </c>
    </row>
    <row r="506" spans="1:7" x14ac:dyDescent="0.25">
      <c r="A506" s="9"/>
      <c r="B506" s="6" t="str">
        <f t="shared" si="7"/>
        <v/>
      </c>
      <c r="E506" s="31"/>
      <c r="F506" s="31"/>
      <c r="G506" s="32" t="str">
        <f>IF(A506="","",$E$3+SUM($E$9:E506)-SUM($F$9:F506))</f>
        <v/>
      </c>
    </row>
    <row r="507" spans="1:7" x14ac:dyDescent="0.25">
      <c r="A507" s="9"/>
      <c r="B507" s="6" t="str">
        <f t="shared" si="7"/>
        <v/>
      </c>
      <c r="E507" s="31"/>
      <c r="F507" s="31"/>
      <c r="G507" s="32" t="str">
        <f>IF(A507="","",$E$3+SUM($E$9:E507)-SUM($F$9:F507))</f>
        <v/>
      </c>
    </row>
    <row r="508" spans="1:7" x14ac:dyDescent="0.25">
      <c r="A508" s="9"/>
      <c r="B508" s="6" t="str">
        <f t="shared" si="7"/>
        <v/>
      </c>
      <c r="E508" s="31"/>
      <c r="F508" s="31"/>
      <c r="G508" s="32" t="str">
        <f>IF(A508="","",$E$3+SUM($E$9:E508)-SUM($F$9:F508))</f>
        <v/>
      </c>
    </row>
  </sheetData>
  <phoneticPr fontId="3" type="noConversion"/>
  <conditionalFormatting sqref="F9 E10:F508">
    <cfRule type="expression" dxfId="0" priority="1">
      <formula>AND($E9&gt;0,$F9&gt;0)</formula>
    </cfRule>
  </conditionalFormatting>
  <dataValidations count="2">
    <dataValidation type="date" operator="greaterThan" allowBlank="1" showInputMessage="1" showErrorMessage="1" error="กรอกเป็นวันที่เท่านั้น" sqref="A9:A508" xr:uid="{DB351DEB-8DFA-447D-8703-890DAD099FE8}">
      <formula1>36526</formula1>
    </dataValidation>
    <dataValidation type="decimal" operator="greaterThanOrEqual" allowBlank="1" showInputMessage="1" showErrorMessage="1" error="กรอกตัวเลขบวก รายจ่ายใส่ช่อง Expenses ไม่ต้องใส่ลบ" sqref="E10:E508 F9:F508" xr:uid="{A6311AC5-8C53-416B-86A1-599E71848F29}">
      <formula1>0</formula1>
    </dataValidation>
  </dataValidations>
  <pageMargins left="0.7" right="0.7" top="0.75" bottom="0.75" header="0.3" footer="0.3"/>
  <ignoredErrors>
    <ignoredError sqref="G10:G14 G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56C2-4C28-4A8F-B603-F9FE779F64D5}">
  <dimension ref="A3:E45"/>
  <sheetViews>
    <sheetView workbookViewId="0">
      <selection activeCell="H26" sqref="H26"/>
    </sheetView>
  </sheetViews>
  <sheetFormatPr defaultRowHeight="14.4" x14ac:dyDescent="0.3"/>
  <cols>
    <col min="1" max="1" width="17.21875" bestFit="1" customWidth="1"/>
    <col min="2" max="3" width="12.88671875" bestFit="1" customWidth="1"/>
    <col min="4" max="4" width="27.77734375" bestFit="1" customWidth="1"/>
    <col min="5" max="5" width="15.6640625" bestFit="1" customWidth="1"/>
  </cols>
  <sheetData>
    <row r="3" spans="1:5" ht="18.600000000000001" x14ac:dyDescent="0.55000000000000004">
      <c r="A3" s="12" t="s">
        <v>35</v>
      </c>
      <c r="B3" s="13">
        <v>2026</v>
      </c>
      <c r="D3" s="12" t="s">
        <v>40</v>
      </c>
      <c r="E3" s="14">
        <v>46113</v>
      </c>
    </row>
    <row r="4" spans="1:5" ht="18.600000000000001" x14ac:dyDescent="0.55000000000000004">
      <c r="A4" s="12" t="s">
        <v>36</v>
      </c>
      <c r="B4" s="13">
        <v>4</v>
      </c>
      <c r="D4" s="12" t="s">
        <v>41</v>
      </c>
      <c r="E4" s="18">
        <f>SUMIFS(Clashbook!$E$9:$E$508,Clashbook!$A$9:$A$508,E3)</f>
        <v>700000</v>
      </c>
    </row>
    <row r="5" spans="1:5" ht="18.600000000000001" x14ac:dyDescent="0.55000000000000004">
      <c r="A5" s="12" t="s">
        <v>37</v>
      </c>
      <c r="B5" s="1">
        <f>DATE(B3,B4,1)</f>
        <v>46113</v>
      </c>
      <c r="D5" s="12" t="s">
        <v>42</v>
      </c>
      <c r="E5" s="17">
        <f>SUMIFS(Clashbook!$F$9:$F$508,Clashbook!$A$9:$A$508,E3)</f>
        <v>130000</v>
      </c>
    </row>
    <row r="6" spans="1:5" ht="18.600000000000001" x14ac:dyDescent="0.55000000000000004">
      <c r="A6" s="12" t="s">
        <v>38</v>
      </c>
      <c r="B6" s="1">
        <f>EOMONTH(B5,0)</f>
        <v>46142</v>
      </c>
      <c r="D6" s="12" t="s">
        <v>43</v>
      </c>
      <c r="E6" s="6">
        <f>COUNTIFS(Clashbook!$A$9:$A$508,E3)</f>
        <v>4</v>
      </c>
    </row>
    <row r="7" spans="1:5" ht="18.600000000000001" x14ac:dyDescent="0.55000000000000004">
      <c r="A7" s="12" t="s">
        <v>39</v>
      </c>
      <c r="B7" s="6">
        <f>DAY(B6)</f>
        <v>30</v>
      </c>
      <c r="D7" s="12" t="s">
        <v>44</v>
      </c>
      <c r="E7" s="4">
        <f>SUMIFS(Clashbook!$F$9:$F$508,Clashbook!$A$9:$A$508,"&gt;="&amp;B5,Clashbook!$A$9:$A$508,"&lt;="&amp;E3)</f>
        <v>130000</v>
      </c>
    </row>
    <row r="9" spans="1:5" ht="18.600000000000001" x14ac:dyDescent="0.55000000000000004">
      <c r="A9" s="15" t="s">
        <v>49</v>
      </c>
      <c r="B9" s="15" t="s">
        <v>50</v>
      </c>
      <c r="C9" s="16" t="s">
        <v>51</v>
      </c>
      <c r="D9" s="15" t="s">
        <v>52</v>
      </c>
      <c r="E9" s="15" t="s">
        <v>53</v>
      </c>
    </row>
    <row r="10" spans="1:5" x14ac:dyDescent="0.3">
      <c r="A10" s="10">
        <f>B5</f>
        <v>46113</v>
      </c>
      <c r="B10" s="30">
        <f>IF(A10="","",SUMIFS(Clashbook!$E$9:$E$508,Clashbook!$A$9:$A$508,A10))</f>
        <v>700000</v>
      </c>
      <c r="C10" s="30">
        <f>IF(A10="","",SUMIFS(Clashbook!$F$9:$F$508,Clashbook!$A$9:$A$508,A10))</f>
        <v>130000</v>
      </c>
      <c r="D10" s="30">
        <f>IF(A10="","",B10-C10)</f>
        <v>570000</v>
      </c>
      <c r="E10">
        <f>IF(A10="","",COUNTIFS(Clashbook!$A$9:$A$508,A10))</f>
        <v>4</v>
      </c>
    </row>
    <row r="11" spans="1:5" x14ac:dyDescent="0.3">
      <c r="A11" s="10">
        <f>IF(A10="","",IF(A10+1&gt;$B$6,"",A10+1))</f>
        <v>46114</v>
      </c>
      <c r="B11" s="30">
        <f>IF(A11="","",SUMIFS(Clashbook!$E$9:$E$508,Clashbook!$A$9:$A$508,A11))</f>
        <v>0</v>
      </c>
      <c r="C11" s="30">
        <f>IF(A11="","",SUMIFS(Clashbook!$F$9:$F$508,Clashbook!$A$9:$A$508,A11))</f>
        <v>135000</v>
      </c>
      <c r="D11" s="30">
        <f t="shared" ref="D11:D40" si="0">IF(A11="","",B11-C11)</f>
        <v>-135000</v>
      </c>
      <c r="E11">
        <f>IF(A11="","",COUNTIFS(Clashbook!$A$9:$A$508,A11))</f>
        <v>4</v>
      </c>
    </row>
    <row r="12" spans="1:5" x14ac:dyDescent="0.3">
      <c r="A12" s="10">
        <f t="shared" ref="A12:A39" si="1">IF(A11="","",IF(A11+1&gt;$B$6,"",A11+1))</f>
        <v>46115</v>
      </c>
      <c r="B12" s="30">
        <f>IF(A12="","",SUMIFS(Clashbook!$E$9:$E$508,Clashbook!$A$9:$A$508,A12))</f>
        <v>0</v>
      </c>
      <c r="C12" s="30">
        <f>IF(A12="","",SUMIFS(Clashbook!$F$9:$F$508,Clashbook!$A$9:$A$508,A12))</f>
        <v>90000</v>
      </c>
      <c r="D12" s="30">
        <f t="shared" si="0"/>
        <v>-90000</v>
      </c>
      <c r="E12">
        <f>IF(A12="","",COUNTIFS(Clashbook!$A$9:$A$508,A12))</f>
        <v>3</v>
      </c>
    </row>
    <row r="13" spans="1:5" x14ac:dyDescent="0.3">
      <c r="A13" s="10">
        <f t="shared" si="1"/>
        <v>46116</v>
      </c>
      <c r="B13" s="30">
        <f>IF(A13="","",SUMIFS(Clashbook!$E$9:$E$508,Clashbook!$A$9:$A$508,A13))</f>
        <v>0</v>
      </c>
      <c r="C13" s="30">
        <f>IF(A13="","",SUMIFS(Clashbook!$F$9:$F$508,Clashbook!$A$9:$A$508,A13))</f>
        <v>100000</v>
      </c>
      <c r="D13" s="30">
        <f t="shared" si="0"/>
        <v>-100000</v>
      </c>
      <c r="E13">
        <f>IF(A13="","",COUNTIFS(Clashbook!$A$9:$A$508,A13))</f>
        <v>2</v>
      </c>
    </row>
    <row r="14" spans="1:5" x14ac:dyDescent="0.3">
      <c r="A14" s="10">
        <f t="shared" si="1"/>
        <v>46117</v>
      </c>
      <c r="B14" s="30">
        <f>IF(A14="","",SUMIFS(Clashbook!$E$9:$E$508,Clashbook!$A$9:$A$508,A14))</f>
        <v>0</v>
      </c>
      <c r="C14" s="30">
        <f>IF(A14="","",SUMIFS(Clashbook!$F$9:$F$508,Clashbook!$A$9:$A$508,A14))</f>
        <v>80000</v>
      </c>
      <c r="D14" s="30">
        <f t="shared" si="0"/>
        <v>-80000</v>
      </c>
      <c r="E14">
        <f>IF(A14="","",COUNTIFS(Clashbook!$A$9:$A$508,A14))</f>
        <v>2</v>
      </c>
    </row>
    <row r="15" spans="1:5" x14ac:dyDescent="0.3">
      <c r="A15" s="10">
        <f t="shared" si="1"/>
        <v>46118</v>
      </c>
      <c r="B15" s="30">
        <f>IF(A15="","",SUMIFS(Clashbook!$E$9:$E$508,Clashbook!$A$9:$A$508,A15))</f>
        <v>0</v>
      </c>
      <c r="C15" s="30">
        <f>IF(A15="","",SUMIFS(Clashbook!$F$9:$F$508,Clashbook!$A$9:$A$508,A15))</f>
        <v>50000</v>
      </c>
      <c r="D15" s="30">
        <f t="shared" si="0"/>
        <v>-50000</v>
      </c>
      <c r="E15">
        <f>IF(A15="","",COUNTIFS(Clashbook!$A$9:$A$508,A15))</f>
        <v>1</v>
      </c>
    </row>
    <row r="16" spans="1:5" x14ac:dyDescent="0.3">
      <c r="A16" s="10">
        <f t="shared" si="1"/>
        <v>46119</v>
      </c>
      <c r="B16" s="30">
        <f>IF(A16="","",SUMIFS(Clashbook!$E$9:$E$508,Clashbook!$A$9:$A$508,A16))</f>
        <v>0</v>
      </c>
      <c r="C16" s="30">
        <f>IF(A16="","",SUMIFS(Clashbook!$F$9:$F$508,Clashbook!$A$9:$A$508,A16))</f>
        <v>0</v>
      </c>
      <c r="D16" s="30">
        <f t="shared" si="0"/>
        <v>0</v>
      </c>
      <c r="E16">
        <f>IF(A16="","",COUNTIFS(Clashbook!$A$9:$A$508,A16))</f>
        <v>0</v>
      </c>
    </row>
    <row r="17" spans="1:5" x14ac:dyDescent="0.3">
      <c r="A17" s="10">
        <f t="shared" si="1"/>
        <v>46120</v>
      </c>
      <c r="B17" s="30">
        <f>IF(A17="","",SUMIFS(Clashbook!$E$9:$E$508,Clashbook!$A$9:$A$508,A17))</f>
        <v>700000</v>
      </c>
      <c r="C17" s="30">
        <f>IF(A17="","",SUMIFS(Clashbook!$F$9:$F$508,Clashbook!$A$9:$A$508,A17))</f>
        <v>50000</v>
      </c>
      <c r="D17" s="30">
        <f t="shared" si="0"/>
        <v>650000</v>
      </c>
      <c r="E17">
        <f>IF(A17="","",COUNTIFS(Clashbook!$A$9:$A$508,A17))</f>
        <v>2</v>
      </c>
    </row>
    <row r="18" spans="1:5" x14ac:dyDescent="0.3">
      <c r="A18" s="10">
        <f t="shared" si="1"/>
        <v>46121</v>
      </c>
      <c r="B18" s="30">
        <f>IF(A18="","",SUMIFS(Clashbook!$E$9:$E$508,Clashbook!$A$9:$A$508,A18))</f>
        <v>0</v>
      </c>
      <c r="C18" s="30">
        <f>IF(A18="","",SUMIFS(Clashbook!$F$9:$F$508,Clashbook!$A$9:$A$508,A18))</f>
        <v>80000</v>
      </c>
      <c r="D18" s="30">
        <f t="shared" si="0"/>
        <v>-80000</v>
      </c>
      <c r="E18">
        <f>IF(A18="","",COUNTIFS(Clashbook!$A$9:$A$508,A18))</f>
        <v>2</v>
      </c>
    </row>
    <row r="19" spans="1:5" x14ac:dyDescent="0.3">
      <c r="A19" s="10">
        <f t="shared" si="1"/>
        <v>46122</v>
      </c>
      <c r="B19" s="30">
        <f>IF(A19="","",SUMIFS(Clashbook!$E$9:$E$508,Clashbook!$A$9:$A$508,A19))</f>
        <v>0</v>
      </c>
      <c r="C19" s="30">
        <f>IF(A19="","",SUMIFS(Clashbook!$F$9:$F$508,Clashbook!$A$9:$A$508,A19))</f>
        <v>50000</v>
      </c>
      <c r="D19" s="30">
        <f t="shared" si="0"/>
        <v>-50000</v>
      </c>
      <c r="E19">
        <f>IF(A19="","",COUNTIFS(Clashbook!$A$9:$A$508,A19))</f>
        <v>1</v>
      </c>
    </row>
    <row r="20" spans="1:5" x14ac:dyDescent="0.3">
      <c r="A20" s="10">
        <f t="shared" si="1"/>
        <v>46123</v>
      </c>
      <c r="B20" s="30">
        <f>IF(A20="","",SUMIFS(Clashbook!$E$9:$E$508,Clashbook!$A$9:$A$508,A20))</f>
        <v>0</v>
      </c>
      <c r="C20" s="30">
        <f>IF(A20="","",SUMIFS(Clashbook!$F$9:$F$508,Clashbook!$A$9:$A$508,A20))</f>
        <v>50000</v>
      </c>
      <c r="D20" s="30">
        <f t="shared" si="0"/>
        <v>-50000</v>
      </c>
      <c r="E20">
        <f>IF(A20="","",COUNTIFS(Clashbook!$A$9:$A$508,A20))</f>
        <v>1</v>
      </c>
    </row>
    <row r="21" spans="1:5" x14ac:dyDescent="0.3">
      <c r="A21" s="10">
        <f t="shared" si="1"/>
        <v>46124</v>
      </c>
      <c r="B21" s="30">
        <f>IF(A21="","",SUMIFS(Clashbook!$E$9:$E$508,Clashbook!$A$9:$A$508,A21))</f>
        <v>0</v>
      </c>
      <c r="C21" s="30">
        <f>IF(A21="","",SUMIFS(Clashbook!$F$9:$F$508,Clashbook!$A$9:$A$508,A21))</f>
        <v>50000</v>
      </c>
      <c r="D21" s="30">
        <f t="shared" si="0"/>
        <v>-50000</v>
      </c>
      <c r="E21">
        <f>IF(A21="","",COUNTIFS(Clashbook!$A$9:$A$508,A21))</f>
        <v>1</v>
      </c>
    </row>
    <row r="22" spans="1:5" x14ac:dyDescent="0.3">
      <c r="A22" s="10">
        <f t="shared" si="1"/>
        <v>46125</v>
      </c>
      <c r="B22" s="30">
        <f>IF(A22="","",SUMIFS(Clashbook!$E$9:$E$508,Clashbook!$A$9:$A$508,A22))</f>
        <v>0</v>
      </c>
      <c r="C22" s="30">
        <f>IF(A22="","",SUMIFS(Clashbook!$F$9:$F$508,Clashbook!$A$9:$A$508,A22))</f>
        <v>150000</v>
      </c>
      <c r="D22" s="30">
        <f t="shared" si="0"/>
        <v>-150000</v>
      </c>
      <c r="E22">
        <f>IF(A22="","",COUNTIFS(Clashbook!$A$9:$A$508,A22))</f>
        <v>1</v>
      </c>
    </row>
    <row r="23" spans="1:5" x14ac:dyDescent="0.3">
      <c r="A23" s="10">
        <f t="shared" si="1"/>
        <v>46126</v>
      </c>
      <c r="B23" s="30">
        <f>IF(A23="","",SUMIFS(Clashbook!$E$9:$E$508,Clashbook!$A$9:$A$508,A23))</f>
        <v>0</v>
      </c>
      <c r="C23" s="30">
        <f>IF(A23="","",SUMIFS(Clashbook!$F$9:$F$508,Clashbook!$A$9:$A$508,A23))</f>
        <v>50000</v>
      </c>
      <c r="D23" s="30">
        <f t="shared" si="0"/>
        <v>-50000</v>
      </c>
      <c r="E23">
        <f>IF(A23="","",COUNTIFS(Clashbook!$A$9:$A$508,A23))</f>
        <v>1</v>
      </c>
    </row>
    <row r="24" spans="1:5" x14ac:dyDescent="0.3">
      <c r="A24" s="10">
        <f t="shared" si="1"/>
        <v>46127</v>
      </c>
      <c r="B24" s="30">
        <f>IF(A24="","",SUMIFS(Clashbook!$E$9:$E$508,Clashbook!$A$9:$A$508,A24))</f>
        <v>700000</v>
      </c>
      <c r="C24" s="30">
        <f>IF(A24="","",SUMIFS(Clashbook!$F$9:$F$508,Clashbook!$A$9:$A$508,A24))</f>
        <v>100000</v>
      </c>
      <c r="D24" s="30">
        <f t="shared" si="0"/>
        <v>600000</v>
      </c>
      <c r="E24">
        <f>IF(A24="","",COUNTIFS(Clashbook!$A$9:$A$508,A24))</f>
        <v>3</v>
      </c>
    </row>
    <row r="25" spans="1:5" x14ac:dyDescent="0.3">
      <c r="A25" s="10">
        <f t="shared" si="1"/>
        <v>46128</v>
      </c>
      <c r="B25" s="30">
        <f>IF(A25="","",SUMIFS(Clashbook!$E$9:$E$508,Clashbook!$A$9:$A$508,A25))</f>
        <v>0</v>
      </c>
      <c r="C25" s="30">
        <f>IF(A25="","",SUMIFS(Clashbook!$F$9:$F$508,Clashbook!$A$9:$A$508,A25))</f>
        <v>30000</v>
      </c>
      <c r="D25" s="30">
        <f t="shared" si="0"/>
        <v>-30000</v>
      </c>
      <c r="E25">
        <f>IF(A25="","",COUNTIFS(Clashbook!$A$9:$A$508,A25))</f>
        <v>1</v>
      </c>
    </row>
    <row r="26" spans="1:5" x14ac:dyDescent="0.3">
      <c r="A26" s="10">
        <f t="shared" si="1"/>
        <v>46129</v>
      </c>
      <c r="B26" s="30">
        <f>IF(A26="","",SUMIFS(Clashbook!$E$9:$E$508,Clashbook!$A$9:$A$508,A26))</f>
        <v>0</v>
      </c>
      <c r="C26" s="30">
        <f>IF(A26="","",SUMIFS(Clashbook!$F$9:$F$508,Clashbook!$A$9:$A$508,A26))</f>
        <v>50000</v>
      </c>
      <c r="D26" s="30">
        <f t="shared" si="0"/>
        <v>-50000</v>
      </c>
      <c r="E26">
        <f>IF(A26="","",COUNTIFS(Clashbook!$A$9:$A$508,A26))</f>
        <v>1</v>
      </c>
    </row>
    <row r="27" spans="1:5" x14ac:dyDescent="0.3">
      <c r="A27" s="10">
        <f t="shared" si="1"/>
        <v>46130</v>
      </c>
      <c r="B27" s="30">
        <f>IF(A27="","",SUMIFS(Clashbook!$E$9:$E$508,Clashbook!$A$9:$A$508,A27))</f>
        <v>0</v>
      </c>
      <c r="C27" s="30">
        <f>IF(A27="","",SUMIFS(Clashbook!$F$9:$F$508,Clashbook!$A$9:$A$508,A27))</f>
        <v>50000</v>
      </c>
      <c r="D27" s="30">
        <f t="shared" si="0"/>
        <v>-50000</v>
      </c>
      <c r="E27">
        <f>IF(A27="","",COUNTIFS(Clashbook!$A$9:$A$508,A27))</f>
        <v>1</v>
      </c>
    </row>
    <row r="28" spans="1:5" x14ac:dyDescent="0.3">
      <c r="A28" s="10">
        <f t="shared" si="1"/>
        <v>46131</v>
      </c>
      <c r="B28" s="30">
        <f>IF(A28="","",SUMIFS(Clashbook!$E$9:$E$508,Clashbook!$A$9:$A$508,A28))</f>
        <v>0</v>
      </c>
      <c r="C28" s="30">
        <f>IF(A28="","",SUMIFS(Clashbook!$F$9:$F$508,Clashbook!$A$9:$A$508,A28))</f>
        <v>0</v>
      </c>
      <c r="D28" s="30">
        <f t="shared" si="0"/>
        <v>0</v>
      </c>
      <c r="E28">
        <f>IF(A28="","",COUNTIFS(Clashbook!$A$9:$A$508,A28))</f>
        <v>0</v>
      </c>
    </row>
    <row r="29" spans="1:5" x14ac:dyDescent="0.3">
      <c r="A29" s="10">
        <f t="shared" si="1"/>
        <v>46132</v>
      </c>
      <c r="B29" s="30">
        <f>IF(A29="","",SUMIFS(Clashbook!$E$9:$E$508,Clashbook!$A$9:$A$508,A29))</f>
        <v>0</v>
      </c>
      <c r="C29" s="30">
        <f>IF(A29="","",SUMIFS(Clashbook!$F$9:$F$508,Clashbook!$A$9:$A$508,A29))</f>
        <v>0</v>
      </c>
      <c r="D29" s="30">
        <f t="shared" si="0"/>
        <v>0</v>
      </c>
      <c r="E29">
        <f>IF(A29="","",COUNTIFS(Clashbook!$A$9:$A$508,A29))</f>
        <v>0</v>
      </c>
    </row>
    <row r="30" spans="1:5" x14ac:dyDescent="0.3">
      <c r="A30" s="10">
        <f t="shared" si="1"/>
        <v>46133</v>
      </c>
      <c r="B30" s="30">
        <f>IF(A30="","",SUMIFS(Clashbook!$E$9:$E$508,Clashbook!$A$9:$A$508,A30))</f>
        <v>0</v>
      </c>
      <c r="C30" s="30">
        <f>IF(A30="","",SUMIFS(Clashbook!$F$9:$F$508,Clashbook!$A$9:$A$508,A30))</f>
        <v>150000</v>
      </c>
      <c r="D30" s="30">
        <f t="shared" si="0"/>
        <v>-150000</v>
      </c>
      <c r="E30">
        <f>IF(A30="","",COUNTIFS(Clashbook!$A$9:$A$508,A30))</f>
        <v>1</v>
      </c>
    </row>
    <row r="31" spans="1:5" x14ac:dyDescent="0.3">
      <c r="A31" s="10">
        <f t="shared" si="1"/>
        <v>46134</v>
      </c>
      <c r="B31" s="30">
        <f>IF(A31="","",SUMIFS(Clashbook!$E$9:$E$508,Clashbook!$A$9:$A$508,A31))</f>
        <v>700000</v>
      </c>
      <c r="C31" s="30">
        <f>IF(A31="","",SUMIFS(Clashbook!$F$9:$F$508,Clashbook!$A$9:$A$508,A31))</f>
        <v>122000</v>
      </c>
      <c r="D31" s="30">
        <f t="shared" si="0"/>
        <v>578000</v>
      </c>
      <c r="E31">
        <f>IF(A31="","",COUNTIFS(Clashbook!$A$9:$A$508,A31))</f>
        <v>4</v>
      </c>
    </row>
    <row r="32" spans="1:5" x14ac:dyDescent="0.3">
      <c r="A32" s="10">
        <f t="shared" si="1"/>
        <v>46135</v>
      </c>
      <c r="B32" s="30">
        <f>IF(A32="","",SUMIFS(Clashbook!$E$9:$E$508,Clashbook!$A$9:$A$508,A32))</f>
        <v>0</v>
      </c>
      <c r="C32" s="30">
        <f>IF(A32="","",SUMIFS(Clashbook!$F$9:$F$508,Clashbook!$A$9:$A$508,A32))</f>
        <v>50000</v>
      </c>
      <c r="D32" s="30">
        <f t="shared" si="0"/>
        <v>-50000</v>
      </c>
      <c r="E32">
        <f>IF(A32="","",COUNTIFS(Clashbook!$A$9:$A$508,A32))</f>
        <v>1</v>
      </c>
    </row>
    <row r="33" spans="1:5" x14ac:dyDescent="0.3">
      <c r="A33" s="10">
        <f t="shared" si="1"/>
        <v>46136</v>
      </c>
      <c r="B33" s="30">
        <f>IF(A33="","",SUMIFS(Clashbook!$E$9:$E$508,Clashbook!$A$9:$A$508,A33))</f>
        <v>0</v>
      </c>
      <c r="C33" s="30">
        <f>IF(A33="","",SUMIFS(Clashbook!$F$9:$F$508,Clashbook!$A$9:$A$508,A33))</f>
        <v>50000</v>
      </c>
      <c r="D33" s="30">
        <f t="shared" si="0"/>
        <v>-50000</v>
      </c>
      <c r="E33">
        <f>IF(A33="","",COUNTIFS(Clashbook!$A$9:$A$508,A33))</f>
        <v>1</v>
      </c>
    </row>
    <row r="34" spans="1:5" x14ac:dyDescent="0.3">
      <c r="A34" s="10">
        <f t="shared" si="1"/>
        <v>46137</v>
      </c>
      <c r="B34" s="30">
        <f>IF(A34="","",SUMIFS(Clashbook!$E$9:$E$508,Clashbook!$A$9:$A$508,A34))</f>
        <v>0</v>
      </c>
      <c r="C34" s="30">
        <f>IF(A34="","",SUMIFS(Clashbook!$F$9:$F$508,Clashbook!$A$9:$A$508,A34))</f>
        <v>50000</v>
      </c>
      <c r="D34" s="30">
        <f t="shared" si="0"/>
        <v>-50000</v>
      </c>
      <c r="E34">
        <f>IF(A34="","",COUNTIFS(Clashbook!$A$9:$A$508,A34))</f>
        <v>1</v>
      </c>
    </row>
    <row r="35" spans="1:5" x14ac:dyDescent="0.3">
      <c r="A35" s="10">
        <f t="shared" si="1"/>
        <v>46138</v>
      </c>
      <c r="B35" s="30">
        <f>IF(A35="","",SUMIFS(Clashbook!$E$9:$E$508,Clashbook!$A$9:$A$508,A35))</f>
        <v>0</v>
      </c>
      <c r="C35" s="30">
        <f>IF(A35="","",SUMIFS(Clashbook!$F$9:$F$508,Clashbook!$A$9:$A$508,A35))</f>
        <v>50000</v>
      </c>
      <c r="D35" s="30">
        <f t="shared" si="0"/>
        <v>-50000</v>
      </c>
      <c r="E35">
        <f>IF(A35="","",COUNTIFS(Clashbook!$A$9:$A$508,A35))</f>
        <v>1</v>
      </c>
    </row>
    <row r="36" spans="1:5" x14ac:dyDescent="0.3">
      <c r="A36" s="10">
        <f t="shared" si="1"/>
        <v>46139</v>
      </c>
      <c r="B36" s="30">
        <f>IF(A36="","",SUMIFS(Clashbook!$E$9:$E$508,Clashbook!$A$9:$A$508,A36))</f>
        <v>0</v>
      </c>
      <c r="C36" s="30">
        <f>IF(A36="","",SUMIFS(Clashbook!$F$9:$F$508,Clashbook!$A$9:$A$508,A36))</f>
        <v>270000</v>
      </c>
      <c r="D36" s="30">
        <f t="shared" si="0"/>
        <v>-270000</v>
      </c>
      <c r="E36">
        <f>IF(A36="","",COUNTIFS(Clashbook!$A$9:$A$508,A36))</f>
        <v>2</v>
      </c>
    </row>
    <row r="37" spans="1:5" x14ac:dyDescent="0.3">
      <c r="A37" s="10">
        <f t="shared" si="1"/>
        <v>46140</v>
      </c>
      <c r="B37" s="30">
        <f>IF(A37="","",SUMIFS(Clashbook!$E$9:$E$508,Clashbook!$A$9:$A$508,A37))</f>
        <v>0</v>
      </c>
      <c r="C37" s="30">
        <f>IF(A37="","",SUMIFS(Clashbook!$F$9:$F$508,Clashbook!$A$9:$A$508,A37))</f>
        <v>0</v>
      </c>
      <c r="D37" s="30">
        <f t="shared" si="0"/>
        <v>0</v>
      </c>
      <c r="E37">
        <f>IF(A37="","",COUNTIFS(Clashbook!$A$9:$A$508,A37))</f>
        <v>0</v>
      </c>
    </row>
    <row r="38" spans="1:5" x14ac:dyDescent="0.3">
      <c r="A38" s="10">
        <f t="shared" si="1"/>
        <v>46141</v>
      </c>
      <c r="B38" s="30">
        <f>IF(A38="","",SUMIFS(Clashbook!$E$9:$E$508,Clashbook!$A$9:$A$508,A38))</f>
        <v>700000</v>
      </c>
      <c r="C38" s="30">
        <f>IF(A38="","",SUMIFS(Clashbook!$F$9:$F$508,Clashbook!$A$9:$A$508,A38))</f>
        <v>95000</v>
      </c>
      <c r="D38" s="30">
        <f t="shared" si="0"/>
        <v>605000</v>
      </c>
      <c r="E38">
        <f>IF(A38="","",COUNTIFS(Clashbook!$A$9:$A$508,A38))</f>
        <v>4</v>
      </c>
    </row>
    <row r="39" spans="1:5" x14ac:dyDescent="0.3">
      <c r="A39" s="10">
        <f t="shared" si="1"/>
        <v>46142</v>
      </c>
      <c r="B39" s="30">
        <f>IF(A39="","",SUMIFS(Clashbook!$E$9:$E$508,Clashbook!$A$9:$A$508,A39))</f>
        <v>0</v>
      </c>
      <c r="C39" s="30">
        <f>IF(A39="","",SUMIFS(Clashbook!$F$9:$F$508,Clashbook!$A$9:$A$508,A39))</f>
        <v>50000</v>
      </c>
      <c r="D39" s="30">
        <f t="shared" si="0"/>
        <v>-50000</v>
      </c>
      <c r="E39">
        <f>IF(A39="","",COUNTIFS(Clashbook!$A$9:$A$508,A39))</f>
        <v>1</v>
      </c>
    </row>
    <row r="40" spans="1:5" x14ac:dyDescent="0.3">
      <c r="A40" s="10" t="str">
        <f>IF(A39="","",IF(A39+1&gt;$B$6,"",A39+1))</f>
        <v/>
      </c>
      <c r="B40" s="30" t="str">
        <f>IF(A40="","",SUMIFS(Clashbook!$E$9:$E$508,Clashbook!$A$9:$A$508,A40))</f>
        <v/>
      </c>
      <c r="C40" s="30" t="str">
        <f>IF(A40="","",SUMIFS(Clashbook!$F$9:$F$508,Clashbook!$A$9:$A$508,A40))</f>
        <v/>
      </c>
      <c r="D40" s="30" t="str">
        <f t="shared" si="0"/>
        <v/>
      </c>
      <c r="E40" t="str">
        <f>IF(A40="","",COUNTIFS(Clashbook!$A$9:$A$508,A40))</f>
        <v/>
      </c>
    </row>
    <row r="41" spans="1:5" ht="18.600000000000001" x14ac:dyDescent="0.55000000000000004">
      <c r="A41" s="12" t="s">
        <v>45</v>
      </c>
      <c r="B41" s="30">
        <f>SUM(B10:B40)</f>
        <v>3500000</v>
      </c>
      <c r="C41" s="30">
        <f>SUM(C10:C40)</f>
        <v>2182000</v>
      </c>
      <c r="D41" s="30">
        <f>SUM(D10:D40)</f>
        <v>1318000</v>
      </c>
      <c r="E41">
        <f>SUM(E10:E40)</f>
        <v>47</v>
      </c>
    </row>
    <row r="42" spans="1:5" ht="18.600000000000001" x14ac:dyDescent="0.55000000000000004">
      <c r="A42" s="12"/>
    </row>
    <row r="43" spans="1:5" ht="18.600000000000001" x14ac:dyDescent="0.55000000000000004">
      <c r="A43" s="12" t="s">
        <v>46</v>
      </c>
      <c r="B43">
        <f>COUNTIF(E10:E40,"&gt;0")</f>
        <v>26</v>
      </c>
    </row>
    <row r="44" spans="1:5" ht="18.600000000000001" x14ac:dyDescent="0.55000000000000004">
      <c r="A44" s="12" t="s">
        <v>47</v>
      </c>
      <c r="B44" s="11">
        <f>IFERROR(C41/B7,0)</f>
        <v>72733.333333333328</v>
      </c>
    </row>
    <row r="45" spans="1:5" ht="18.600000000000001" x14ac:dyDescent="0.55000000000000004">
      <c r="A45" s="12" t="s">
        <v>48</v>
      </c>
      <c r="B45" s="11">
        <f>ROUND(C41-SUMIFS(Clashbook!$F$9:$F$508,Clashbook!$A$9:$A$508,"&gt;="&amp;B5,Clashbook!$A$9:$A$508,"&lt;="&amp;B6),2)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4D22-18C8-462B-BDD3-C26FE96F28FC}">
  <dimension ref="A5:B24"/>
  <sheetViews>
    <sheetView workbookViewId="0">
      <selection activeCell="D22" sqref="D22"/>
    </sheetView>
  </sheetViews>
  <sheetFormatPr defaultRowHeight="18.600000000000001" x14ac:dyDescent="0.55000000000000004"/>
  <cols>
    <col min="1" max="1" width="24.33203125" style="12" bestFit="1" customWidth="1"/>
    <col min="2" max="2" width="13.44140625" style="12" bestFit="1" customWidth="1"/>
    <col min="3" max="16384" width="8.88671875" style="12"/>
  </cols>
  <sheetData>
    <row r="5" spans="1:2" x14ac:dyDescent="0.55000000000000004">
      <c r="A5" s="12" t="s">
        <v>58</v>
      </c>
      <c r="B5" s="19">
        <v>7.0000000000000007E-2</v>
      </c>
    </row>
    <row r="6" spans="1:2" x14ac:dyDescent="0.55000000000000004">
      <c r="A6" s="12" t="s">
        <v>59</v>
      </c>
      <c r="B6" s="19">
        <v>0.03</v>
      </c>
    </row>
    <row r="9" spans="1:2" x14ac:dyDescent="0.55000000000000004">
      <c r="A9" s="12" t="s">
        <v>65</v>
      </c>
      <c r="B9" s="25">
        <v>100000</v>
      </c>
    </row>
    <row r="10" spans="1:2" x14ac:dyDescent="0.55000000000000004">
      <c r="A10" s="12" t="s">
        <v>60</v>
      </c>
      <c r="B10" s="26">
        <f>ROUND(B9*$B$5,2)</f>
        <v>7000</v>
      </c>
    </row>
    <row r="11" spans="1:2" x14ac:dyDescent="0.55000000000000004">
      <c r="A11" s="12" t="s">
        <v>61</v>
      </c>
      <c r="B11" s="26">
        <f>B9+B10</f>
        <v>107000</v>
      </c>
    </row>
    <row r="12" spans="1:2" x14ac:dyDescent="0.55000000000000004">
      <c r="B12" s="27"/>
    </row>
    <row r="13" spans="1:2" x14ac:dyDescent="0.55000000000000004">
      <c r="B13" s="26"/>
    </row>
    <row r="14" spans="1:2" x14ac:dyDescent="0.55000000000000004">
      <c r="A14" s="12" t="s">
        <v>62</v>
      </c>
      <c r="B14" s="25">
        <v>100000</v>
      </c>
    </row>
    <row r="15" spans="1:2" x14ac:dyDescent="0.55000000000000004">
      <c r="A15" s="12" t="s">
        <v>63</v>
      </c>
      <c r="B15" s="26">
        <f>ROUND(B14/(1+$B$5),2)</f>
        <v>93457.94</v>
      </c>
    </row>
    <row r="16" spans="1:2" x14ac:dyDescent="0.55000000000000004">
      <c r="A16" s="12" t="s">
        <v>64</v>
      </c>
      <c r="B16" s="26">
        <f>B14-B15</f>
        <v>6542.0599999999977</v>
      </c>
    </row>
    <row r="17" spans="1:2" x14ac:dyDescent="0.55000000000000004">
      <c r="B17" s="26"/>
    </row>
    <row r="18" spans="1:2" x14ac:dyDescent="0.55000000000000004">
      <c r="B18" s="26"/>
    </row>
    <row r="19" spans="1:2" x14ac:dyDescent="0.55000000000000004">
      <c r="B19" s="26"/>
    </row>
    <row r="20" spans="1:2" x14ac:dyDescent="0.55000000000000004">
      <c r="A20" s="12" t="s">
        <v>66</v>
      </c>
      <c r="B20" s="25">
        <v>100000</v>
      </c>
    </row>
    <row r="21" spans="1:2" x14ac:dyDescent="0.55000000000000004">
      <c r="A21" s="12" t="s">
        <v>67</v>
      </c>
      <c r="B21" s="26">
        <f>ROUND(B20*$B$5,2)</f>
        <v>7000</v>
      </c>
    </row>
    <row r="22" spans="1:2" x14ac:dyDescent="0.55000000000000004">
      <c r="A22" s="12" t="s">
        <v>68</v>
      </c>
      <c r="B22" s="26">
        <f>B20+B21</f>
        <v>107000</v>
      </c>
    </row>
    <row r="23" spans="1:2" x14ac:dyDescent="0.55000000000000004">
      <c r="A23" s="12" t="s">
        <v>69</v>
      </c>
      <c r="B23" s="26">
        <f>ROUND(B20*$B$6,2)</f>
        <v>3000</v>
      </c>
    </row>
    <row r="24" spans="1:2" x14ac:dyDescent="0.55000000000000004">
      <c r="A24" s="12" t="s">
        <v>70</v>
      </c>
      <c r="B24" s="26">
        <f>B22-B23</f>
        <v>104000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F476-0CBF-4A22-B03E-31E91ACF5AD4}">
  <dimension ref="A4:J508"/>
  <sheetViews>
    <sheetView topLeftCell="C1" workbookViewId="0">
      <selection activeCell="I12" sqref="I12"/>
    </sheetView>
  </sheetViews>
  <sheetFormatPr defaultRowHeight="18.600000000000001" x14ac:dyDescent="0.55000000000000004"/>
  <cols>
    <col min="1" max="1" width="11" style="12" bestFit="1" customWidth="1"/>
    <col min="2" max="2" width="8.88671875" style="12"/>
    <col min="3" max="3" width="28.6640625" style="12" bestFit="1" customWidth="1"/>
    <col min="4" max="4" width="10.88671875" style="12" bestFit="1" customWidth="1"/>
    <col min="5" max="5" width="19" style="12" bestFit="1" customWidth="1"/>
    <col min="6" max="6" width="15.109375" style="12" bestFit="1" customWidth="1"/>
    <col min="7" max="7" width="16.21875" style="12" bestFit="1" customWidth="1"/>
    <col min="8" max="8" width="8.88671875" style="12"/>
    <col min="9" max="9" width="14" style="12" bestFit="1" customWidth="1"/>
    <col min="10" max="10" width="16.21875" style="12" bestFit="1" customWidth="1"/>
    <col min="11" max="16384" width="8.88671875" style="12"/>
  </cols>
  <sheetData>
    <row r="4" spans="1:10" x14ac:dyDescent="0.55000000000000004">
      <c r="A4" s="12" t="s">
        <v>0</v>
      </c>
      <c r="B4" s="12" t="s">
        <v>71</v>
      </c>
      <c r="C4" s="22" t="s">
        <v>1</v>
      </c>
      <c r="D4" s="22" t="s">
        <v>72</v>
      </c>
      <c r="E4" s="22" t="s">
        <v>74</v>
      </c>
      <c r="F4" s="22" t="s">
        <v>64</v>
      </c>
      <c r="G4" s="22" t="s">
        <v>73</v>
      </c>
    </row>
    <row r="5" spans="1:10" x14ac:dyDescent="0.55000000000000004">
      <c r="A5" s="10">
        <v>46113</v>
      </c>
      <c r="B5" s="12" t="s">
        <v>75</v>
      </c>
      <c r="C5" s="23" t="s">
        <v>76</v>
      </c>
      <c r="D5" s="23" t="s">
        <v>6</v>
      </c>
      <c r="E5" s="28">
        <v>5000000</v>
      </c>
      <c r="F5" s="28">
        <f>IF(E5="","",ROUND(E5*Tax!$B$5,2))</f>
        <v>350000</v>
      </c>
      <c r="G5" s="29">
        <f>IF(E5="","",E5+F5)</f>
        <v>5350000</v>
      </c>
      <c r="H5" s="24"/>
      <c r="I5" s="23" t="s">
        <v>88</v>
      </c>
      <c r="J5" s="28">
        <f>SUMIFS($E$5:$E$104,$D$5:$D$104,"Sales")</f>
        <v>20000000</v>
      </c>
    </row>
    <row r="6" spans="1:10" x14ac:dyDescent="0.55000000000000004">
      <c r="A6" s="21">
        <v>46115</v>
      </c>
      <c r="B6" s="12" t="s">
        <v>77</v>
      </c>
      <c r="C6" s="23" t="s">
        <v>84</v>
      </c>
      <c r="D6" s="23" t="s">
        <v>78</v>
      </c>
      <c r="E6" s="28">
        <v>2000000</v>
      </c>
      <c r="F6" s="28">
        <f>IF(E6="","",ROUND(E6*Tax!$B$5,2))</f>
        <v>140000</v>
      </c>
      <c r="G6" s="29">
        <f t="shared" ref="G6:G69" si="0">IF(E6="","",E6+F6)</f>
        <v>2140000</v>
      </c>
      <c r="H6" s="24"/>
      <c r="I6" s="23" t="s">
        <v>89</v>
      </c>
      <c r="J6" s="28">
        <f>SUMIFS($F$5:$F$104,$D$5:$D$104,"Sales")</f>
        <v>1400000</v>
      </c>
    </row>
    <row r="7" spans="1:10" x14ac:dyDescent="0.55000000000000004">
      <c r="A7" s="21">
        <v>46120</v>
      </c>
      <c r="B7" s="12" t="s">
        <v>79</v>
      </c>
      <c r="C7" s="23" t="s">
        <v>83</v>
      </c>
      <c r="D7" s="23" t="s">
        <v>6</v>
      </c>
      <c r="E7" s="28">
        <v>3000000</v>
      </c>
      <c r="F7" s="28">
        <f>IF(E7="","",ROUND(E7*Tax!$B$5,2))</f>
        <v>210000</v>
      </c>
      <c r="G7" s="29">
        <f t="shared" si="0"/>
        <v>3210000</v>
      </c>
      <c r="H7" s="24"/>
      <c r="I7" s="23" t="s">
        <v>90</v>
      </c>
      <c r="J7" s="28">
        <f>SUMIFS($E$5:$E$104,$D$5:$D$104,"Purchase")</f>
        <v>10000000</v>
      </c>
    </row>
    <row r="8" spans="1:10" x14ac:dyDescent="0.55000000000000004">
      <c r="A8" s="21">
        <v>46124</v>
      </c>
      <c r="B8" s="12" t="s">
        <v>80</v>
      </c>
      <c r="C8" s="23" t="s">
        <v>85</v>
      </c>
      <c r="D8" s="23" t="s">
        <v>86</v>
      </c>
      <c r="E8" s="28">
        <v>15000000</v>
      </c>
      <c r="F8" s="28">
        <f>IF(E8="","",ROUND(E8*Tax!$B$5,2))</f>
        <v>1050000</v>
      </c>
      <c r="G8" s="29">
        <f t="shared" si="0"/>
        <v>16050000</v>
      </c>
      <c r="H8" s="24"/>
      <c r="I8" s="23" t="s">
        <v>91</v>
      </c>
      <c r="J8" s="28">
        <f>SUMIFS($F$5:$F$104,$D$5:$D$104,"Purchase")</f>
        <v>700000</v>
      </c>
    </row>
    <row r="9" spans="1:10" x14ac:dyDescent="0.55000000000000004">
      <c r="A9" s="21">
        <v>46132</v>
      </c>
      <c r="B9" s="12" t="s">
        <v>81</v>
      </c>
      <c r="C9" s="23" t="s">
        <v>83</v>
      </c>
      <c r="D9" s="23" t="s">
        <v>6</v>
      </c>
      <c r="E9" s="28">
        <v>12000000</v>
      </c>
      <c r="F9" s="28">
        <f>IF(E9="","",ROUND(E9*Tax!$B$5,2))</f>
        <v>840000</v>
      </c>
      <c r="G9" s="29">
        <f t="shared" si="0"/>
        <v>12840000</v>
      </c>
      <c r="H9" s="24"/>
      <c r="I9" s="23" t="s">
        <v>92</v>
      </c>
      <c r="J9" s="28">
        <f>J6-J8</f>
        <v>700000</v>
      </c>
    </row>
    <row r="10" spans="1:10" x14ac:dyDescent="0.55000000000000004">
      <c r="A10" s="21">
        <v>46137</v>
      </c>
      <c r="B10" s="12" t="s">
        <v>82</v>
      </c>
      <c r="C10" s="23" t="s">
        <v>87</v>
      </c>
      <c r="D10" s="23" t="s">
        <v>78</v>
      </c>
      <c r="E10" s="28">
        <v>8000000</v>
      </c>
      <c r="F10" s="28">
        <f>IF(E10="","",ROUND(E10*Tax!$B$5,2))</f>
        <v>560000</v>
      </c>
      <c r="G10" s="29">
        <f t="shared" si="0"/>
        <v>8560000</v>
      </c>
      <c r="H10" s="24"/>
      <c r="I10" s="23" t="s">
        <v>93</v>
      </c>
      <c r="J10" s="23" t="str">
        <f>IF(J9&gt;0,"ຕ້ອງຊຳລະພາສີ",IF(J9&lt;0,"ມີເຄດິດພາສີຍົກໄປເດືອນຫນ້າ","ບໍ່ມີຍອດ"))</f>
        <v>ຕ້ອງຊຳລະພາສີ</v>
      </c>
    </row>
    <row r="11" spans="1:10" x14ac:dyDescent="0.55000000000000004">
      <c r="E11" s="20"/>
      <c r="F11" s="20" t="str">
        <f>IF(E11="","",ROUND(E11*Tax!$B$5,2))</f>
        <v/>
      </c>
      <c r="G11" s="20" t="str">
        <f t="shared" si="0"/>
        <v/>
      </c>
    </row>
    <row r="12" spans="1:10" x14ac:dyDescent="0.55000000000000004">
      <c r="E12" s="20"/>
      <c r="F12" s="20" t="str">
        <f>IF(E12="","",ROUND(E12*Tax!$B$5,2))</f>
        <v/>
      </c>
      <c r="G12" s="20" t="str">
        <f t="shared" si="0"/>
        <v/>
      </c>
    </row>
    <row r="13" spans="1:10" x14ac:dyDescent="0.55000000000000004">
      <c r="E13" s="20"/>
      <c r="F13" s="20" t="str">
        <f>IF(E13="","",ROUND(E13*Tax!$B$5,2))</f>
        <v/>
      </c>
      <c r="G13" s="20" t="str">
        <f t="shared" si="0"/>
        <v/>
      </c>
    </row>
    <row r="14" spans="1:10" x14ac:dyDescent="0.55000000000000004">
      <c r="E14" s="20"/>
      <c r="F14" s="20" t="str">
        <f>IF(E14="","",ROUND(E14*Tax!$B$5,2))</f>
        <v/>
      </c>
      <c r="G14" s="20" t="str">
        <f t="shared" si="0"/>
        <v/>
      </c>
    </row>
    <row r="15" spans="1:10" x14ac:dyDescent="0.55000000000000004">
      <c r="E15" s="20"/>
      <c r="F15" s="20" t="str">
        <f>IF(E15="","",ROUND(E15*Tax!$B$5,2))</f>
        <v/>
      </c>
      <c r="G15" s="20" t="str">
        <f t="shared" si="0"/>
        <v/>
      </c>
    </row>
    <row r="16" spans="1:10" x14ac:dyDescent="0.55000000000000004">
      <c r="E16" s="20"/>
      <c r="F16" s="20" t="str">
        <f>IF(E16="","",ROUND(E16*Tax!$B$5,2))</f>
        <v/>
      </c>
      <c r="G16" s="20" t="str">
        <f t="shared" si="0"/>
        <v/>
      </c>
    </row>
    <row r="17" spans="5:7" x14ac:dyDescent="0.55000000000000004">
      <c r="E17" s="20"/>
      <c r="F17" s="20" t="str">
        <f>IF(E17="","",ROUND(E17*Tax!$B$5,2))</f>
        <v/>
      </c>
      <c r="G17" s="20" t="str">
        <f t="shared" si="0"/>
        <v/>
      </c>
    </row>
    <row r="18" spans="5:7" x14ac:dyDescent="0.55000000000000004">
      <c r="E18" s="20"/>
      <c r="F18" s="20" t="str">
        <f>IF(E18="","",ROUND(E18*Tax!$B$5,2))</f>
        <v/>
      </c>
      <c r="G18" s="20" t="str">
        <f t="shared" si="0"/>
        <v/>
      </c>
    </row>
    <row r="19" spans="5:7" x14ac:dyDescent="0.55000000000000004">
      <c r="E19" s="20"/>
      <c r="F19" s="20" t="str">
        <f>IF(E19="","",ROUND(E19*Tax!$B$5,2))</f>
        <v/>
      </c>
      <c r="G19" s="20" t="str">
        <f t="shared" si="0"/>
        <v/>
      </c>
    </row>
    <row r="20" spans="5:7" x14ac:dyDescent="0.55000000000000004">
      <c r="E20" s="20"/>
      <c r="F20" s="20" t="str">
        <f>IF(E20="","",ROUND(E20*Tax!$B$5,2))</f>
        <v/>
      </c>
      <c r="G20" s="20" t="str">
        <f t="shared" si="0"/>
        <v/>
      </c>
    </row>
    <row r="21" spans="5:7" x14ac:dyDescent="0.55000000000000004">
      <c r="E21" s="20"/>
      <c r="F21" s="20" t="str">
        <f>IF(E21="","",ROUND(E21*Tax!$B$5,2))</f>
        <v/>
      </c>
      <c r="G21" s="20" t="str">
        <f t="shared" si="0"/>
        <v/>
      </c>
    </row>
    <row r="22" spans="5:7" x14ac:dyDescent="0.55000000000000004">
      <c r="E22" s="20"/>
      <c r="F22" s="20" t="str">
        <f>IF(E22="","",ROUND(E22*Tax!$B$5,2))</f>
        <v/>
      </c>
      <c r="G22" s="20" t="str">
        <f t="shared" si="0"/>
        <v/>
      </c>
    </row>
    <row r="23" spans="5:7" x14ac:dyDescent="0.55000000000000004">
      <c r="E23" s="20"/>
      <c r="F23" s="20" t="str">
        <f>IF(E23="","",ROUND(E23*Tax!$B$5,2))</f>
        <v/>
      </c>
      <c r="G23" s="20" t="str">
        <f t="shared" si="0"/>
        <v/>
      </c>
    </row>
    <row r="24" spans="5:7" x14ac:dyDescent="0.55000000000000004">
      <c r="E24" s="20"/>
      <c r="F24" s="20" t="str">
        <f>IF(E24="","",ROUND(E24*Tax!$B$5,2))</f>
        <v/>
      </c>
      <c r="G24" s="20" t="str">
        <f t="shared" si="0"/>
        <v/>
      </c>
    </row>
    <row r="25" spans="5:7" x14ac:dyDescent="0.55000000000000004">
      <c r="E25" s="20"/>
      <c r="F25" s="20" t="str">
        <f>IF(E25="","",ROUND(E25*Tax!$B$5,2))</f>
        <v/>
      </c>
      <c r="G25" s="20" t="str">
        <f t="shared" si="0"/>
        <v/>
      </c>
    </row>
    <row r="26" spans="5:7" x14ac:dyDescent="0.55000000000000004">
      <c r="E26" s="20"/>
      <c r="F26" s="20" t="str">
        <f>IF(E26="","",ROUND(E26*Tax!$B$5,2))</f>
        <v/>
      </c>
      <c r="G26" s="20" t="str">
        <f t="shared" si="0"/>
        <v/>
      </c>
    </row>
    <row r="27" spans="5:7" x14ac:dyDescent="0.55000000000000004">
      <c r="E27" s="20"/>
      <c r="F27" s="20" t="str">
        <f>IF(E27="","",ROUND(E27*Tax!$B$5,2))</f>
        <v/>
      </c>
      <c r="G27" s="20" t="str">
        <f t="shared" si="0"/>
        <v/>
      </c>
    </row>
    <row r="28" spans="5:7" x14ac:dyDescent="0.55000000000000004">
      <c r="E28" s="20"/>
      <c r="F28" s="20" t="str">
        <f>IF(E28="","",ROUND(E28*Tax!$B$5,2))</f>
        <v/>
      </c>
      <c r="G28" s="20" t="str">
        <f t="shared" si="0"/>
        <v/>
      </c>
    </row>
    <row r="29" spans="5:7" x14ac:dyDescent="0.55000000000000004">
      <c r="E29" s="20"/>
      <c r="F29" s="20" t="str">
        <f>IF(E29="","",ROUND(E29*Tax!$B$5,2))</f>
        <v/>
      </c>
      <c r="G29" s="20" t="str">
        <f t="shared" si="0"/>
        <v/>
      </c>
    </row>
    <row r="30" spans="5:7" x14ac:dyDescent="0.55000000000000004">
      <c r="E30" s="20"/>
      <c r="F30" s="20" t="str">
        <f>IF(E30="","",ROUND(E30*Tax!$B$5,2))</f>
        <v/>
      </c>
      <c r="G30" s="20" t="str">
        <f t="shared" si="0"/>
        <v/>
      </c>
    </row>
    <row r="31" spans="5:7" x14ac:dyDescent="0.55000000000000004">
      <c r="E31" s="20"/>
      <c r="F31" s="20" t="str">
        <f>IF(E31="","",ROUND(E31*Tax!$B$5,2))</f>
        <v/>
      </c>
      <c r="G31" s="20" t="str">
        <f t="shared" si="0"/>
        <v/>
      </c>
    </row>
    <row r="32" spans="5:7" x14ac:dyDescent="0.55000000000000004">
      <c r="E32" s="20"/>
      <c r="F32" s="20" t="str">
        <f>IF(E32="","",ROUND(E32*Tax!$B$5,2))</f>
        <v/>
      </c>
      <c r="G32" s="20" t="str">
        <f t="shared" si="0"/>
        <v/>
      </c>
    </row>
    <row r="33" spans="5:7" x14ac:dyDescent="0.55000000000000004">
      <c r="E33" s="20"/>
      <c r="F33" s="20" t="str">
        <f>IF(E33="","",ROUND(E33*Tax!$B$5,2))</f>
        <v/>
      </c>
      <c r="G33" s="20" t="str">
        <f t="shared" si="0"/>
        <v/>
      </c>
    </row>
    <row r="34" spans="5:7" x14ac:dyDescent="0.55000000000000004">
      <c r="E34" s="20"/>
      <c r="F34" s="20" t="str">
        <f>IF(E34="","",ROUND(E34*Tax!$B$5,2))</f>
        <v/>
      </c>
      <c r="G34" s="20" t="str">
        <f t="shared" si="0"/>
        <v/>
      </c>
    </row>
    <row r="35" spans="5:7" x14ac:dyDescent="0.55000000000000004">
      <c r="E35" s="20"/>
      <c r="F35" s="20" t="str">
        <f>IF(E35="","",ROUND(E35*Tax!$B$5,2))</f>
        <v/>
      </c>
      <c r="G35" s="20" t="str">
        <f t="shared" si="0"/>
        <v/>
      </c>
    </row>
    <row r="36" spans="5:7" x14ac:dyDescent="0.55000000000000004">
      <c r="E36" s="20"/>
      <c r="F36" s="20" t="str">
        <f>IF(E36="","",ROUND(E36*Tax!$B$5,2))</f>
        <v/>
      </c>
      <c r="G36" s="20" t="str">
        <f t="shared" si="0"/>
        <v/>
      </c>
    </row>
    <row r="37" spans="5:7" x14ac:dyDescent="0.55000000000000004">
      <c r="E37" s="20"/>
      <c r="F37" s="20" t="str">
        <f>IF(E37="","",ROUND(E37*Tax!$B$5,2))</f>
        <v/>
      </c>
      <c r="G37" s="20" t="str">
        <f t="shared" si="0"/>
        <v/>
      </c>
    </row>
    <row r="38" spans="5:7" x14ac:dyDescent="0.55000000000000004">
      <c r="E38" s="20"/>
      <c r="F38" s="20" t="str">
        <f>IF(E38="","",ROUND(E38*Tax!$B$5,2))</f>
        <v/>
      </c>
      <c r="G38" s="20" t="str">
        <f t="shared" si="0"/>
        <v/>
      </c>
    </row>
    <row r="39" spans="5:7" x14ac:dyDescent="0.55000000000000004">
      <c r="E39" s="20"/>
      <c r="F39" s="20" t="str">
        <f>IF(E39="","",ROUND(E39*Tax!$B$5,2))</f>
        <v/>
      </c>
      <c r="G39" s="20" t="str">
        <f t="shared" si="0"/>
        <v/>
      </c>
    </row>
    <row r="40" spans="5:7" x14ac:dyDescent="0.55000000000000004">
      <c r="E40" s="20"/>
      <c r="F40" s="20" t="str">
        <f>IF(E40="","",ROUND(E40*Tax!$B$5,2))</f>
        <v/>
      </c>
      <c r="G40" s="20" t="str">
        <f t="shared" si="0"/>
        <v/>
      </c>
    </row>
    <row r="41" spans="5:7" x14ac:dyDescent="0.55000000000000004">
      <c r="E41" s="20"/>
      <c r="F41" s="20" t="str">
        <f>IF(E41="","",ROUND(E41*Tax!$B$5,2))</f>
        <v/>
      </c>
      <c r="G41" s="20" t="str">
        <f t="shared" si="0"/>
        <v/>
      </c>
    </row>
    <row r="42" spans="5:7" x14ac:dyDescent="0.55000000000000004">
      <c r="E42" s="20"/>
      <c r="F42" s="20" t="str">
        <f>IF(E42="","",ROUND(E42*Tax!$B$5,2))</f>
        <v/>
      </c>
      <c r="G42" s="20" t="str">
        <f t="shared" si="0"/>
        <v/>
      </c>
    </row>
    <row r="43" spans="5:7" x14ac:dyDescent="0.55000000000000004">
      <c r="E43" s="20"/>
      <c r="F43" s="20" t="str">
        <f>IF(E43="","",ROUND(E43*Tax!$B$5,2))</f>
        <v/>
      </c>
      <c r="G43" s="20" t="str">
        <f t="shared" si="0"/>
        <v/>
      </c>
    </row>
    <row r="44" spans="5:7" x14ac:dyDescent="0.55000000000000004">
      <c r="E44" s="20"/>
      <c r="F44" s="20" t="str">
        <f>IF(E44="","",ROUND(E44*Tax!$B$5,2))</f>
        <v/>
      </c>
      <c r="G44" s="20" t="str">
        <f t="shared" si="0"/>
        <v/>
      </c>
    </row>
    <row r="45" spans="5:7" x14ac:dyDescent="0.55000000000000004">
      <c r="E45" s="20"/>
      <c r="F45" s="20" t="str">
        <f>IF(E45="","",ROUND(E45*Tax!$B$5,2))</f>
        <v/>
      </c>
      <c r="G45" s="20" t="str">
        <f t="shared" si="0"/>
        <v/>
      </c>
    </row>
    <row r="46" spans="5:7" x14ac:dyDescent="0.55000000000000004">
      <c r="E46" s="20"/>
      <c r="F46" s="20" t="str">
        <f>IF(E46="","",ROUND(E46*Tax!$B$5,2))</f>
        <v/>
      </c>
      <c r="G46" s="20" t="str">
        <f t="shared" si="0"/>
        <v/>
      </c>
    </row>
    <row r="47" spans="5:7" x14ac:dyDescent="0.55000000000000004">
      <c r="E47" s="20"/>
      <c r="F47" s="20" t="str">
        <f>IF(E47="","",ROUND(E47*Tax!$B$5,2))</f>
        <v/>
      </c>
      <c r="G47" s="20" t="str">
        <f t="shared" si="0"/>
        <v/>
      </c>
    </row>
    <row r="48" spans="5:7" x14ac:dyDescent="0.55000000000000004">
      <c r="E48" s="20"/>
      <c r="F48" s="20" t="str">
        <f>IF(E48="","",ROUND(E48*Tax!$B$5,2))</f>
        <v/>
      </c>
      <c r="G48" s="20" t="str">
        <f t="shared" si="0"/>
        <v/>
      </c>
    </row>
    <row r="49" spans="5:7" x14ac:dyDescent="0.55000000000000004">
      <c r="E49" s="20"/>
      <c r="F49" s="20" t="str">
        <f>IF(E49="","",ROUND(E49*Tax!$B$5,2))</f>
        <v/>
      </c>
      <c r="G49" s="20" t="str">
        <f t="shared" si="0"/>
        <v/>
      </c>
    </row>
    <row r="50" spans="5:7" x14ac:dyDescent="0.55000000000000004">
      <c r="E50" s="20"/>
      <c r="F50" s="20" t="str">
        <f>IF(E50="","",ROUND(E50*Tax!$B$5,2))</f>
        <v/>
      </c>
      <c r="G50" s="20" t="str">
        <f t="shared" si="0"/>
        <v/>
      </c>
    </row>
    <row r="51" spans="5:7" x14ac:dyDescent="0.55000000000000004">
      <c r="E51" s="20"/>
      <c r="F51" s="20" t="str">
        <f>IF(E51="","",ROUND(E51*Tax!$B$5,2))</f>
        <v/>
      </c>
      <c r="G51" s="20" t="str">
        <f t="shared" si="0"/>
        <v/>
      </c>
    </row>
    <row r="52" spans="5:7" x14ac:dyDescent="0.55000000000000004">
      <c r="E52" s="20"/>
      <c r="F52" s="20" t="str">
        <f>IF(E52="","",ROUND(E52*Tax!$B$5,2))</f>
        <v/>
      </c>
      <c r="G52" s="20" t="str">
        <f t="shared" si="0"/>
        <v/>
      </c>
    </row>
    <row r="53" spans="5:7" x14ac:dyDescent="0.55000000000000004">
      <c r="E53" s="20"/>
      <c r="F53" s="20" t="str">
        <f>IF(E53="","",ROUND(E53*Tax!$B$5,2))</f>
        <v/>
      </c>
      <c r="G53" s="20" t="str">
        <f t="shared" si="0"/>
        <v/>
      </c>
    </row>
    <row r="54" spans="5:7" x14ac:dyDescent="0.55000000000000004">
      <c r="E54" s="20"/>
      <c r="F54" s="20" t="str">
        <f>IF(E54="","",ROUND(E54*Tax!$B$5,2))</f>
        <v/>
      </c>
      <c r="G54" s="20" t="str">
        <f t="shared" si="0"/>
        <v/>
      </c>
    </row>
    <row r="55" spans="5:7" x14ac:dyDescent="0.55000000000000004">
      <c r="E55" s="20"/>
      <c r="F55" s="20" t="str">
        <f>IF(E55="","",ROUND(E55*Tax!$B$5,2))</f>
        <v/>
      </c>
      <c r="G55" s="20" t="str">
        <f t="shared" si="0"/>
        <v/>
      </c>
    </row>
    <row r="56" spans="5:7" x14ac:dyDescent="0.55000000000000004">
      <c r="E56" s="20"/>
      <c r="F56" s="20" t="str">
        <f>IF(E56="","",ROUND(E56*Tax!$B$5,2))</f>
        <v/>
      </c>
      <c r="G56" s="20" t="str">
        <f t="shared" si="0"/>
        <v/>
      </c>
    </row>
    <row r="57" spans="5:7" x14ac:dyDescent="0.55000000000000004">
      <c r="E57" s="20"/>
      <c r="F57" s="20" t="str">
        <f>IF(E57="","",ROUND(E57*Tax!$B$5,2))</f>
        <v/>
      </c>
      <c r="G57" s="20" t="str">
        <f t="shared" si="0"/>
        <v/>
      </c>
    </row>
    <row r="58" spans="5:7" x14ac:dyDescent="0.55000000000000004">
      <c r="E58" s="20"/>
      <c r="F58" s="20" t="str">
        <f>IF(E58="","",ROUND(E58*Tax!$B$5,2))</f>
        <v/>
      </c>
      <c r="G58" s="20" t="str">
        <f t="shared" si="0"/>
        <v/>
      </c>
    </row>
    <row r="59" spans="5:7" x14ac:dyDescent="0.55000000000000004">
      <c r="E59" s="20"/>
      <c r="F59" s="20" t="str">
        <f>IF(E59="","",ROUND(E59*Tax!$B$5,2))</f>
        <v/>
      </c>
      <c r="G59" s="20" t="str">
        <f t="shared" si="0"/>
        <v/>
      </c>
    </row>
    <row r="60" spans="5:7" x14ac:dyDescent="0.55000000000000004">
      <c r="E60" s="20"/>
      <c r="F60" s="20" t="str">
        <f>IF(E60="","",ROUND(E60*Tax!$B$5,2))</f>
        <v/>
      </c>
      <c r="G60" s="20" t="str">
        <f t="shared" si="0"/>
        <v/>
      </c>
    </row>
    <row r="61" spans="5:7" x14ac:dyDescent="0.55000000000000004">
      <c r="E61" s="20"/>
      <c r="F61" s="20" t="str">
        <f>IF(E61="","",ROUND(E61*Tax!$B$5,2))</f>
        <v/>
      </c>
      <c r="G61" s="20" t="str">
        <f t="shared" si="0"/>
        <v/>
      </c>
    </row>
    <row r="62" spans="5:7" x14ac:dyDescent="0.55000000000000004">
      <c r="E62" s="20"/>
      <c r="F62" s="20" t="str">
        <f>IF(E62="","",ROUND(E62*Tax!$B$5,2))</f>
        <v/>
      </c>
      <c r="G62" s="20" t="str">
        <f t="shared" si="0"/>
        <v/>
      </c>
    </row>
    <row r="63" spans="5:7" x14ac:dyDescent="0.55000000000000004">
      <c r="E63" s="20"/>
      <c r="F63" s="20" t="str">
        <f>IF(E63="","",ROUND(E63*Tax!$B$5,2))</f>
        <v/>
      </c>
      <c r="G63" s="20" t="str">
        <f t="shared" si="0"/>
        <v/>
      </c>
    </row>
    <row r="64" spans="5:7" x14ac:dyDescent="0.55000000000000004">
      <c r="E64" s="20"/>
      <c r="F64" s="20" t="str">
        <f>IF(E64="","",ROUND(E64*Tax!$B$5,2))</f>
        <v/>
      </c>
      <c r="G64" s="20" t="str">
        <f t="shared" si="0"/>
        <v/>
      </c>
    </row>
    <row r="65" spans="5:7" x14ac:dyDescent="0.55000000000000004">
      <c r="E65" s="20"/>
      <c r="F65" s="20" t="str">
        <f>IF(E65="","",ROUND(E65*Tax!$B$5,2))</f>
        <v/>
      </c>
      <c r="G65" s="20" t="str">
        <f t="shared" si="0"/>
        <v/>
      </c>
    </row>
    <row r="66" spans="5:7" x14ac:dyDescent="0.55000000000000004">
      <c r="E66" s="20"/>
      <c r="F66" s="20" t="str">
        <f>IF(E66="","",ROUND(E66*Tax!$B$5,2))</f>
        <v/>
      </c>
      <c r="G66" s="20" t="str">
        <f t="shared" si="0"/>
        <v/>
      </c>
    </row>
    <row r="67" spans="5:7" x14ac:dyDescent="0.55000000000000004">
      <c r="E67" s="20"/>
      <c r="F67" s="20" t="str">
        <f>IF(E67="","",ROUND(E67*Tax!$B$5,2))</f>
        <v/>
      </c>
      <c r="G67" s="20" t="str">
        <f t="shared" si="0"/>
        <v/>
      </c>
    </row>
    <row r="68" spans="5:7" x14ac:dyDescent="0.55000000000000004">
      <c r="E68" s="20"/>
      <c r="F68" s="20" t="str">
        <f>IF(E68="","",ROUND(E68*Tax!$B$5,2))</f>
        <v/>
      </c>
      <c r="G68" s="20" t="str">
        <f t="shared" si="0"/>
        <v/>
      </c>
    </row>
    <row r="69" spans="5:7" x14ac:dyDescent="0.55000000000000004">
      <c r="E69" s="20"/>
      <c r="F69" s="20" t="str">
        <f>IF(E69="","",ROUND(E69*Tax!$B$5,2))</f>
        <v/>
      </c>
      <c r="G69" s="20" t="str">
        <f t="shared" si="0"/>
        <v/>
      </c>
    </row>
    <row r="70" spans="5:7" x14ac:dyDescent="0.55000000000000004">
      <c r="E70" s="20"/>
      <c r="F70" s="20" t="str">
        <f>IF(E70="","",ROUND(E70*Tax!$B$5,2))</f>
        <v/>
      </c>
      <c r="G70" s="20" t="str">
        <f t="shared" ref="G70:G104" si="1">IF(E70="","",E70+F70)</f>
        <v/>
      </c>
    </row>
    <row r="71" spans="5:7" x14ac:dyDescent="0.55000000000000004">
      <c r="E71" s="20"/>
      <c r="F71" s="20" t="str">
        <f>IF(E71="","",ROUND(E71*Tax!$B$5,2))</f>
        <v/>
      </c>
      <c r="G71" s="20" t="str">
        <f t="shared" si="1"/>
        <v/>
      </c>
    </row>
    <row r="72" spans="5:7" x14ac:dyDescent="0.55000000000000004">
      <c r="E72" s="20"/>
      <c r="F72" s="20" t="str">
        <f>IF(E72="","",ROUND(E72*Tax!$B$5,2))</f>
        <v/>
      </c>
      <c r="G72" s="20" t="str">
        <f t="shared" si="1"/>
        <v/>
      </c>
    </row>
    <row r="73" spans="5:7" x14ac:dyDescent="0.55000000000000004">
      <c r="E73" s="20"/>
      <c r="F73" s="20" t="str">
        <f>IF(E73="","",ROUND(E73*Tax!$B$5,2))</f>
        <v/>
      </c>
      <c r="G73" s="20" t="str">
        <f t="shared" si="1"/>
        <v/>
      </c>
    </row>
    <row r="74" spans="5:7" x14ac:dyDescent="0.55000000000000004">
      <c r="E74" s="20"/>
      <c r="F74" s="20" t="str">
        <f>IF(E74="","",ROUND(E74*Tax!$B$5,2))</f>
        <v/>
      </c>
      <c r="G74" s="20" t="str">
        <f t="shared" si="1"/>
        <v/>
      </c>
    </row>
    <row r="75" spans="5:7" x14ac:dyDescent="0.55000000000000004">
      <c r="E75" s="20"/>
      <c r="F75" s="20" t="str">
        <f>IF(E75="","",ROUND(E75*Tax!$B$5,2))</f>
        <v/>
      </c>
      <c r="G75" s="20" t="str">
        <f t="shared" si="1"/>
        <v/>
      </c>
    </row>
    <row r="76" spans="5:7" x14ac:dyDescent="0.55000000000000004">
      <c r="E76" s="20"/>
      <c r="F76" s="20" t="str">
        <f>IF(E76="","",ROUND(E76*Tax!$B$5,2))</f>
        <v/>
      </c>
      <c r="G76" s="20" t="str">
        <f t="shared" si="1"/>
        <v/>
      </c>
    </row>
    <row r="77" spans="5:7" x14ac:dyDescent="0.55000000000000004">
      <c r="E77" s="20"/>
      <c r="F77" s="20" t="str">
        <f>IF(E77="","",ROUND(E77*Tax!$B$5,2))</f>
        <v/>
      </c>
      <c r="G77" s="20" t="str">
        <f t="shared" si="1"/>
        <v/>
      </c>
    </row>
    <row r="78" spans="5:7" x14ac:dyDescent="0.55000000000000004">
      <c r="E78" s="20"/>
      <c r="F78" s="20" t="str">
        <f>IF(E78="","",ROUND(E78*Tax!$B$5,2))</f>
        <v/>
      </c>
      <c r="G78" s="20" t="str">
        <f t="shared" si="1"/>
        <v/>
      </c>
    </row>
    <row r="79" spans="5:7" x14ac:dyDescent="0.55000000000000004">
      <c r="E79" s="20"/>
      <c r="F79" s="20" t="str">
        <f>IF(E79="","",ROUND(E79*Tax!$B$5,2))</f>
        <v/>
      </c>
      <c r="G79" s="20" t="str">
        <f t="shared" si="1"/>
        <v/>
      </c>
    </row>
    <row r="80" spans="5:7" x14ac:dyDescent="0.55000000000000004">
      <c r="E80" s="20"/>
      <c r="F80" s="20" t="str">
        <f>IF(E80="","",ROUND(E80*Tax!$B$5,2))</f>
        <v/>
      </c>
      <c r="G80" s="20" t="str">
        <f t="shared" si="1"/>
        <v/>
      </c>
    </row>
    <row r="81" spans="5:7" x14ac:dyDescent="0.55000000000000004">
      <c r="E81" s="20"/>
      <c r="F81" s="20" t="str">
        <f>IF(E81="","",ROUND(E81*Tax!$B$5,2))</f>
        <v/>
      </c>
      <c r="G81" s="20" t="str">
        <f t="shared" si="1"/>
        <v/>
      </c>
    </row>
    <row r="82" spans="5:7" x14ac:dyDescent="0.55000000000000004">
      <c r="E82" s="20"/>
      <c r="F82" s="20" t="str">
        <f>IF(E82="","",ROUND(E82*Tax!$B$5,2))</f>
        <v/>
      </c>
      <c r="G82" s="20" t="str">
        <f t="shared" si="1"/>
        <v/>
      </c>
    </row>
    <row r="83" spans="5:7" x14ac:dyDescent="0.55000000000000004">
      <c r="E83" s="20"/>
      <c r="F83" s="20" t="str">
        <f>IF(E83="","",ROUND(E83*Tax!$B$5,2))</f>
        <v/>
      </c>
      <c r="G83" s="20" t="str">
        <f t="shared" si="1"/>
        <v/>
      </c>
    </row>
    <row r="84" spans="5:7" x14ac:dyDescent="0.55000000000000004">
      <c r="E84" s="20"/>
      <c r="F84" s="20" t="str">
        <f>IF(E84="","",ROUND(E84*Tax!$B$5,2))</f>
        <v/>
      </c>
      <c r="G84" s="20" t="str">
        <f t="shared" si="1"/>
        <v/>
      </c>
    </row>
    <row r="85" spans="5:7" x14ac:dyDescent="0.55000000000000004">
      <c r="E85" s="20"/>
      <c r="F85" s="20" t="str">
        <f>IF(E85="","",ROUND(E85*Tax!$B$5,2))</f>
        <v/>
      </c>
      <c r="G85" s="20" t="str">
        <f t="shared" si="1"/>
        <v/>
      </c>
    </row>
    <row r="86" spans="5:7" x14ac:dyDescent="0.55000000000000004">
      <c r="E86" s="20"/>
      <c r="F86" s="20" t="str">
        <f>IF(E86="","",ROUND(E86*Tax!$B$5,2))</f>
        <v/>
      </c>
      <c r="G86" s="20" t="str">
        <f t="shared" si="1"/>
        <v/>
      </c>
    </row>
    <row r="87" spans="5:7" x14ac:dyDescent="0.55000000000000004">
      <c r="E87" s="20"/>
      <c r="F87" s="20" t="str">
        <f>IF(E87="","",ROUND(E87*Tax!$B$5,2))</f>
        <v/>
      </c>
      <c r="G87" s="20" t="str">
        <f t="shared" si="1"/>
        <v/>
      </c>
    </row>
    <row r="88" spans="5:7" x14ac:dyDescent="0.55000000000000004">
      <c r="E88" s="20"/>
      <c r="F88" s="20" t="str">
        <f>IF(E88="","",ROUND(E88*Tax!$B$5,2))</f>
        <v/>
      </c>
      <c r="G88" s="20" t="str">
        <f t="shared" si="1"/>
        <v/>
      </c>
    </row>
    <row r="89" spans="5:7" x14ac:dyDescent="0.55000000000000004">
      <c r="E89" s="20"/>
      <c r="F89" s="20" t="str">
        <f>IF(E89="","",ROUND(E89*Tax!$B$5,2))</f>
        <v/>
      </c>
      <c r="G89" s="20" t="str">
        <f t="shared" si="1"/>
        <v/>
      </c>
    </row>
    <row r="90" spans="5:7" x14ac:dyDescent="0.55000000000000004">
      <c r="E90" s="20"/>
      <c r="F90" s="20" t="str">
        <f>IF(E90="","",ROUND(E90*Tax!$B$5,2))</f>
        <v/>
      </c>
      <c r="G90" s="20" t="str">
        <f t="shared" si="1"/>
        <v/>
      </c>
    </row>
    <row r="91" spans="5:7" x14ac:dyDescent="0.55000000000000004">
      <c r="E91" s="20"/>
      <c r="F91" s="20" t="str">
        <f>IF(E91="","",ROUND(E91*Tax!$B$5,2))</f>
        <v/>
      </c>
      <c r="G91" s="20" t="str">
        <f t="shared" si="1"/>
        <v/>
      </c>
    </row>
    <row r="92" spans="5:7" x14ac:dyDescent="0.55000000000000004">
      <c r="E92" s="20"/>
      <c r="F92" s="20" t="str">
        <f>IF(E92="","",ROUND(E92*Tax!$B$5,2))</f>
        <v/>
      </c>
      <c r="G92" s="20" t="str">
        <f t="shared" si="1"/>
        <v/>
      </c>
    </row>
    <row r="93" spans="5:7" x14ac:dyDescent="0.55000000000000004">
      <c r="E93" s="20"/>
      <c r="F93" s="20" t="str">
        <f>IF(E93="","",ROUND(E93*Tax!$B$5,2))</f>
        <v/>
      </c>
      <c r="G93" s="20" t="str">
        <f t="shared" si="1"/>
        <v/>
      </c>
    </row>
    <row r="94" spans="5:7" x14ac:dyDescent="0.55000000000000004">
      <c r="E94" s="20"/>
      <c r="F94" s="20" t="str">
        <f>IF(E94="","",ROUND(E94*Tax!$B$5,2))</f>
        <v/>
      </c>
      <c r="G94" s="20" t="str">
        <f t="shared" si="1"/>
        <v/>
      </c>
    </row>
    <row r="95" spans="5:7" x14ac:dyDescent="0.55000000000000004">
      <c r="E95" s="20"/>
      <c r="F95" s="20" t="str">
        <f>IF(E95="","",ROUND(E95*Tax!$B$5,2))</f>
        <v/>
      </c>
      <c r="G95" s="20" t="str">
        <f t="shared" si="1"/>
        <v/>
      </c>
    </row>
    <row r="96" spans="5:7" x14ac:dyDescent="0.55000000000000004">
      <c r="E96" s="20"/>
      <c r="F96" s="20" t="str">
        <f>IF(E96="","",ROUND(E96*Tax!$B$5,2))</f>
        <v/>
      </c>
      <c r="G96" s="20" t="str">
        <f t="shared" si="1"/>
        <v/>
      </c>
    </row>
    <row r="97" spans="5:7" x14ac:dyDescent="0.55000000000000004">
      <c r="E97" s="20"/>
      <c r="F97" s="20" t="str">
        <f>IF(E97="","",ROUND(E97*Tax!$B$5,2))</f>
        <v/>
      </c>
      <c r="G97" s="20" t="str">
        <f t="shared" si="1"/>
        <v/>
      </c>
    </row>
    <row r="98" spans="5:7" x14ac:dyDescent="0.55000000000000004">
      <c r="E98" s="20"/>
      <c r="F98" s="20" t="str">
        <f>IF(E98="","",ROUND(E98*Tax!$B$5,2))</f>
        <v/>
      </c>
      <c r="G98" s="20" t="str">
        <f t="shared" si="1"/>
        <v/>
      </c>
    </row>
    <row r="99" spans="5:7" x14ac:dyDescent="0.55000000000000004">
      <c r="E99" s="20"/>
      <c r="F99" s="20" t="str">
        <f>IF(E99="","",ROUND(E99*Tax!$B$5,2))</f>
        <v/>
      </c>
      <c r="G99" s="20" t="str">
        <f t="shared" si="1"/>
        <v/>
      </c>
    </row>
    <row r="100" spans="5:7" x14ac:dyDescent="0.55000000000000004">
      <c r="E100" s="20"/>
      <c r="F100" s="20" t="str">
        <f>IF(E100="","",ROUND(E100*Tax!$B$5,2))</f>
        <v/>
      </c>
      <c r="G100" s="20" t="str">
        <f t="shared" si="1"/>
        <v/>
      </c>
    </row>
    <row r="101" spans="5:7" x14ac:dyDescent="0.55000000000000004">
      <c r="E101" s="20"/>
      <c r="F101" s="20" t="str">
        <f>IF(E101="","",ROUND(E101*Tax!$B$5,2))</f>
        <v/>
      </c>
      <c r="G101" s="20" t="str">
        <f t="shared" si="1"/>
        <v/>
      </c>
    </row>
    <row r="102" spans="5:7" x14ac:dyDescent="0.55000000000000004">
      <c r="E102" s="20"/>
      <c r="F102" s="20" t="str">
        <f>IF(E102="","",ROUND(E102*Tax!$B$5,2))</f>
        <v/>
      </c>
      <c r="G102" s="20" t="str">
        <f t="shared" si="1"/>
        <v/>
      </c>
    </row>
    <row r="103" spans="5:7" x14ac:dyDescent="0.55000000000000004">
      <c r="E103" s="20"/>
      <c r="F103" s="20" t="str">
        <f>IF(E103="","",ROUND(E103*Tax!$B$5,2))</f>
        <v/>
      </c>
      <c r="G103" s="20" t="str">
        <f t="shared" si="1"/>
        <v/>
      </c>
    </row>
    <row r="104" spans="5:7" x14ac:dyDescent="0.55000000000000004">
      <c r="E104" s="20"/>
      <c r="F104" s="20" t="str">
        <f>IF(E104="","",ROUND(E104*Tax!$B$5,2))</f>
        <v/>
      </c>
      <c r="G104" s="20" t="str">
        <f t="shared" si="1"/>
        <v/>
      </c>
    </row>
    <row r="105" spans="5:7" x14ac:dyDescent="0.55000000000000004">
      <c r="E105" s="20"/>
    </row>
    <row r="106" spans="5:7" x14ac:dyDescent="0.55000000000000004">
      <c r="E106" s="20"/>
    </row>
    <row r="107" spans="5:7" x14ac:dyDescent="0.55000000000000004">
      <c r="E107" s="20"/>
    </row>
    <row r="108" spans="5:7" x14ac:dyDescent="0.55000000000000004">
      <c r="E108" s="20"/>
    </row>
    <row r="109" spans="5:7" x14ac:dyDescent="0.55000000000000004">
      <c r="E109" s="20"/>
    </row>
    <row r="110" spans="5:7" x14ac:dyDescent="0.55000000000000004">
      <c r="E110" s="20"/>
    </row>
    <row r="111" spans="5:7" x14ac:dyDescent="0.55000000000000004">
      <c r="E111" s="20"/>
    </row>
    <row r="112" spans="5:7" x14ac:dyDescent="0.55000000000000004">
      <c r="E112" s="20"/>
    </row>
    <row r="113" spans="5:5" x14ac:dyDescent="0.55000000000000004">
      <c r="E113" s="20"/>
    </row>
    <row r="114" spans="5:5" x14ac:dyDescent="0.55000000000000004">
      <c r="E114" s="20"/>
    </row>
    <row r="115" spans="5:5" x14ac:dyDescent="0.55000000000000004">
      <c r="E115" s="20"/>
    </row>
    <row r="116" spans="5:5" x14ac:dyDescent="0.55000000000000004">
      <c r="E116" s="20"/>
    </row>
    <row r="117" spans="5:5" x14ac:dyDescent="0.55000000000000004">
      <c r="E117" s="20"/>
    </row>
    <row r="118" spans="5:5" x14ac:dyDescent="0.55000000000000004">
      <c r="E118" s="20"/>
    </row>
    <row r="119" spans="5:5" x14ac:dyDescent="0.55000000000000004">
      <c r="E119" s="20"/>
    </row>
    <row r="120" spans="5:5" x14ac:dyDescent="0.55000000000000004">
      <c r="E120" s="20"/>
    </row>
    <row r="121" spans="5:5" x14ac:dyDescent="0.55000000000000004">
      <c r="E121" s="20"/>
    </row>
    <row r="122" spans="5:5" x14ac:dyDescent="0.55000000000000004">
      <c r="E122" s="20"/>
    </row>
    <row r="123" spans="5:5" x14ac:dyDescent="0.55000000000000004">
      <c r="E123" s="20"/>
    </row>
    <row r="124" spans="5:5" x14ac:dyDescent="0.55000000000000004">
      <c r="E124" s="20"/>
    </row>
    <row r="125" spans="5:5" x14ac:dyDescent="0.55000000000000004">
      <c r="E125" s="20"/>
    </row>
    <row r="126" spans="5:5" x14ac:dyDescent="0.55000000000000004">
      <c r="E126" s="20"/>
    </row>
    <row r="127" spans="5:5" x14ac:dyDescent="0.55000000000000004">
      <c r="E127" s="20"/>
    </row>
    <row r="128" spans="5:5" x14ac:dyDescent="0.55000000000000004">
      <c r="E128" s="20"/>
    </row>
    <row r="129" spans="5:5" x14ac:dyDescent="0.55000000000000004">
      <c r="E129" s="20"/>
    </row>
    <row r="130" spans="5:5" x14ac:dyDescent="0.55000000000000004">
      <c r="E130" s="20"/>
    </row>
    <row r="131" spans="5:5" x14ac:dyDescent="0.55000000000000004">
      <c r="E131" s="20"/>
    </row>
    <row r="132" spans="5:5" x14ac:dyDescent="0.55000000000000004">
      <c r="E132" s="20"/>
    </row>
    <row r="133" spans="5:5" x14ac:dyDescent="0.55000000000000004">
      <c r="E133" s="20"/>
    </row>
    <row r="134" spans="5:5" x14ac:dyDescent="0.55000000000000004">
      <c r="E134" s="20"/>
    </row>
    <row r="135" spans="5:5" x14ac:dyDescent="0.55000000000000004">
      <c r="E135" s="20"/>
    </row>
    <row r="136" spans="5:5" x14ac:dyDescent="0.55000000000000004">
      <c r="E136" s="20"/>
    </row>
    <row r="137" spans="5:5" x14ac:dyDescent="0.55000000000000004">
      <c r="E137" s="20"/>
    </row>
    <row r="138" spans="5:5" x14ac:dyDescent="0.55000000000000004">
      <c r="E138" s="20"/>
    </row>
    <row r="139" spans="5:5" x14ac:dyDescent="0.55000000000000004">
      <c r="E139" s="20"/>
    </row>
    <row r="140" spans="5:5" x14ac:dyDescent="0.55000000000000004">
      <c r="E140" s="20"/>
    </row>
    <row r="141" spans="5:5" x14ac:dyDescent="0.55000000000000004">
      <c r="E141" s="20"/>
    </row>
    <row r="142" spans="5:5" x14ac:dyDescent="0.55000000000000004">
      <c r="E142" s="20"/>
    </row>
    <row r="143" spans="5:5" x14ac:dyDescent="0.55000000000000004">
      <c r="E143" s="20"/>
    </row>
    <row r="144" spans="5:5" x14ac:dyDescent="0.55000000000000004">
      <c r="E144" s="20"/>
    </row>
    <row r="145" spans="5:5" x14ac:dyDescent="0.55000000000000004">
      <c r="E145" s="20"/>
    </row>
    <row r="146" spans="5:5" x14ac:dyDescent="0.55000000000000004">
      <c r="E146" s="20"/>
    </row>
    <row r="147" spans="5:5" x14ac:dyDescent="0.55000000000000004">
      <c r="E147" s="20"/>
    </row>
    <row r="148" spans="5:5" x14ac:dyDescent="0.55000000000000004">
      <c r="E148" s="20"/>
    </row>
    <row r="149" spans="5:5" x14ac:dyDescent="0.55000000000000004">
      <c r="E149" s="20"/>
    </row>
    <row r="150" spans="5:5" x14ac:dyDescent="0.55000000000000004">
      <c r="E150" s="20"/>
    </row>
    <row r="151" spans="5:5" x14ac:dyDescent="0.55000000000000004">
      <c r="E151" s="20"/>
    </row>
    <row r="152" spans="5:5" x14ac:dyDescent="0.55000000000000004">
      <c r="E152" s="20"/>
    </row>
    <row r="153" spans="5:5" x14ac:dyDescent="0.55000000000000004">
      <c r="E153" s="20"/>
    </row>
    <row r="154" spans="5:5" x14ac:dyDescent="0.55000000000000004">
      <c r="E154" s="20"/>
    </row>
    <row r="155" spans="5:5" x14ac:dyDescent="0.55000000000000004">
      <c r="E155" s="20"/>
    </row>
    <row r="156" spans="5:5" x14ac:dyDescent="0.55000000000000004">
      <c r="E156" s="20"/>
    </row>
    <row r="157" spans="5:5" x14ac:dyDescent="0.55000000000000004">
      <c r="E157" s="20"/>
    </row>
    <row r="158" spans="5:5" x14ac:dyDescent="0.55000000000000004">
      <c r="E158" s="20"/>
    </row>
    <row r="159" spans="5:5" x14ac:dyDescent="0.55000000000000004">
      <c r="E159" s="20"/>
    </row>
    <row r="160" spans="5:5" x14ac:dyDescent="0.55000000000000004">
      <c r="E160" s="20"/>
    </row>
    <row r="161" spans="5:5" x14ac:dyDescent="0.55000000000000004">
      <c r="E161" s="20"/>
    </row>
    <row r="162" spans="5:5" x14ac:dyDescent="0.55000000000000004">
      <c r="E162" s="20"/>
    </row>
    <row r="163" spans="5:5" x14ac:dyDescent="0.55000000000000004">
      <c r="E163" s="20"/>
    </row>
    <row r="164" spans="5:5" x14ac:dyDescent="0.55000000000000004">
      <c r="E164" s="20"/>
    </row>
    <row r="165" spans="5:5" x14ac:dyDescent="0.55000000000000004">
      <c r="E165" s="20"/>
    </row>
    <row r="166" spans="5:5" x14ac:dyDescent="0.55000000000000004">
      <c r="E166" s="20"/>
    </row>
    <row r="167" spans="5:5" x14ac:dyDescent="0.55000000000000004">
      <c r="E167" s="20"/>
    </row>
    <row r="168" spans="5:5" x14ac:dyDescent="0.55000000000000004">
      <c r="E168" s="20"/>
    </row>
    <row r="169" spans="5:5" x14ac:dyDescent="0.55000000000000004">
      <c r="E169" s="20"/>
    </row>
    <row r="170" spans="5:5" x14ac:dyDescent="0.55000000000000004">
      <c r="E170" s="20"/>
    </row>
    <row r="171" spans="5:5" x14ac:dyDescent="0.55000000000000004">
      <c r="E171" s="20"/>
    </row>
    <row r="172" spans="5:5" x14ac:dyDescent="0.55000000000000004">
      <c r="E172" s="20"/>
    </row>
    <row r="173" spans="5:5" x14ac:dyDescent="0.55000000000000004">
      <c r="E173" s="20"/>
    </row>
    <row r="174" spans="5:5" x14ac:dyDescent="0.55000000000000004">
      <c r="E174" s="20"/>
    </row>
    <row r="175" spans="5:5" x14ac:dyDescent="0.55000000000000004">
      <c r="E175" s="20"/>
    </row>
    <row r="176" spans="5:5" x14ac:dyDescent="0.55000000000000004">
      <c r="E176" s="20"/>
    </row>
    <row r="177" spans="5:5" x14ac:dyDescent="0.55000000000000004">
      <c r="E177" s="20"/>
    </row>
    <row r="178" spans="5:5" x14ac:dyDescent="0.55000000000000004">
      <c r="E178" s="20"/>
    </row>
    <row r="179" spans="5:5" x14ac:dyDescent="0.55000000000000004">
      <c r="E179" s="20"/>
    </row>
    <row r="180" spans="5:5" x14ac:dyDescent="0.55000000000000004">
      <c r="E180" s="20"/>
    </row>
    <row r="181" spans="5:5" x14ac:dyDescent="0.55000000000000004">
      <c r="E181" s="20"/>
    </row>
    <row r="182" spans="5:5" x14ac:dyDescent="0.55000000000000004">
      <c r="E182" s="20"/>
    </row>
    <row r="183" spans="5:5" x14ac:dyDescent="0.55000000000000004">
      <c r="E183" s="20"/>
    </row>
    <row r="184" spans="5:5" x14ac:dyDescent="0.55000000000000004">
      <c r="E184" s="20"/>
    </row>
    <row r="185" spans="5:5" x14ac:dyDescent="0.55000000000000004">
      <c r="E185" s="20"/>
    </row>
    <row r="186" spans="5:5" x14ac:dyDescent="0.55000000000000004">
      <c r="E186" s="20"/>
    </row>
    <row r="187" spans="5:5" x14ac:dyDescent="0.55000000000000004">
      <c r="E187" s="20"/>
    </row>
    <row r="188" spans="5:5" x14ac:dyDescent="0.55000000000000004">
      <c r="E188" s="20"/>
    </row>
    <row r="189" spans="5:5" x14ac:dyDescent="0.55000000000000004">
      <c r="E189" s="20"/>
    </row>
    <row r="190" spans="5:5" x14ac:dyDescent="0.55000000000000004">
      <c r="E190" s="20"/>
    </row>
    <row r="191" spans="5:5" x14ac:dyDescent="0.55000000000000004">
      <c r="E191" s="20"/>
    </row>
    <row r="192" spans="5:5" x14ac:dyDescent="0.55000000000000004">
      <c r="E192" s="20"/>
    </row>
    <row r="193" spans="5:5" x14ac:dyDescent="0.55000000000000004">
      <c r="E193" s="20"/>
    </row>
    <row r="194" spans="5:5" x14ac:dyDescent="0.55000000000000004">
      <c r="E194" s="20"/>
    </row>
    <row r="195" spans="5:5" x14ac:dyDescent="0.55000000000000004">
      <c r="E195" s="20"/>
    </row>
    <row r="196" spans="5:5" x14ac:dyDescent="0.55000000000000004">
      <c r="E196" s="20"/>
    </row>
    <row r="197" spans="5:5" x14ac:dyDescent="0.55000000000000004">
      <c r="E197" s="20"/>
    </row>
    <row r="198" spans="5:5" x14ac:dyDescent="0.55000000000000004">
      <c r="E198" s="20"/>
    </row>
    <row r="199" spans="5:5" x14ac:dyDescent="0.55000000000000004">
      <c r="E199" s="20"/>
    </row>
    <row r="200" spans="5:5" x14ac:dyDescent="0.55000000000000004">
      <c r="E200" s="20"/>
    </row>
    <row r="201" spans="5:5" x14ac:dyDescent="0.55000000000000004">
      <c r="E201" s="20"/>
    </row>
    <row r="202" spans="5:5" x14ac:dyDescent="0.55000000000000004">
      <c r="E202" s="20"/>
    </row>
    <row r="203" spans="5:5" x14ac:dyDescent="0.55000000000000004">
      <c r="E203" s="20"/>
    </row>
    <row r="204" spans="5:5" x14ac:dyDescent="0.55000000000000004">
      <c r="E204" s="20"/>
    </row>
    <row r="205" spans="5:5" x14ac:dyDescent="0.55000000000000004">
      <c r="E205" s="20"/>
    </row>
    <row r="206" spans="5:5" x14ac:dyDescent="0.55000000000000004">
      <c r="E206" s="20"/>
    </row>
    <row r="207" spans="5:5" x14ac:dyDescent="0.55000000000000004">
      <c r="E207" s="20"/>
    </row>
    <row r="208" spans="5:5" x14ac:dyDescent="0.55000000000000004">
      <c r="E208" s="20"/>
    </row>
    <row r="209" spans="5:5" x14ac:dyDescent="0.55000000000000004">
      <c r="E209" s="20"/>
    </row>
    <row r="210" spans="5:5" x14ac:dyDescent="0.55000000000000004">
      <c r="E210" s="20"/>
    </row>
    <row r="211" spans="5:5" x14ac:dyDescent="0.55000000000000004">
      <c r="E211" s="20"/>
    </row>
    <row r="212" spans="5:5" x14ac:dyDescent="0.55000000000000004">
      <c r="E212" s="20"/>
    </row>
    <row r="213" spans="5:5" x14ac:dyDescent="0.55000000000000004">
      <c r="E213" s="20"/>
    </row>
    <row r="214" spans="5:5" x14ac:dyDescent="0.55000000000000004">
      <c r="E214" s="20"/>
    </row>
    <row r="215" spans="5:5" x14ac:dyDescent="0.55000000000000004">
      <c r="E215" s="20"/>
    </row>
    <row r="216" spans="5:5" x14ac:dyDescent="0.55000000000000004">
      <c r="E216" s="20"/>
    </row>
    <row r="217" spans="5:5" x14ac:dyDescent="0.55000000000000004">
      <c r="E217" s="20"/>
    </row>
    <row r="218" spans="5:5" x14ac:dyDescent="0.55000000000000004">
      <c r="E218" s="20"/>
    </row>
    <row r="219" spans="5:5" x14ac:dyDescent="0.55000000000000004">
      <c r="E219" s="20"/>
    </row>
    <row r="220" spans="5:5" x14ac:dyDescent="0.55000000000000004">
      <c r="E220" s="20"/>
    </row>
    <row r="221" spans="5:5" x14ac:dyDescent="0.55000000000000004">
      <c r="E221" s="20"/>
    </row>
    <row r="222" spans="5:5" x14ac:dyDescent="0.55000000000000004">
      <c r="E222" s="20"/>
    </row>
    <row r="223" spans="5:5" x14ac:dyDescent="0.55000000000000004">
      <c r="E223" s="20"/>
    </row>
    <row r="224" spans="5:5" x14ac:dyDescent="0.55000000000000004">
      <c r="E224" s="20"/>
    </row>
    <row r="225" spans="5:5" x14ac:dyDescent="0.55000000000000004">
      <c r="E225" s="20"/>
    </row>
    <row r="226" spans="5:5" x14ac:dyDescent="0.55000000000000004">
      <c r="E226" s="20"/>
    </row>
    <row r="227" spans="5:5" x14ac:dyDescent="0.55000000000000004">
      <c r="E227" s="20"/>
    </row>
    <row r="228" spans="5:5" x14ac:dyDescent="0.55000000000000004">
      <c r="E228" s="20"/>
    </row>
    <row r="229" spans="5:5" x14ac:dyDescent="0.55000000000000004">
      <c r="E229" s="20"/>
    </row>
    <row r="230" spans="5:5" x14ac:dyDescent="0.55000000000000004">
      <c r="E230" s="20"/>
    </row>
    <row r="231" spans="5:5" x14ac:dyDescent="0.55000000000000004">
      <c r="E231" s="20"/>
    </row>
    <row r="232" spans="5:5" x14ac:dyDescent="0.55000000000000004">
      <c r="E232" s="20"/>
    </row>
    <row r="233" spans="5:5" x14ac:dyDescent="0.55000000000000004">
      <c r="E233" s="20"/>
    </row>
    <row r="234" spans="5:5" x14ac:dyDescent="0.55000000000000004">
      <c r="E234" s="20"/>
    </row>
    <row r="235" spans="5:5" x14ac:dyDescent="0.55000000000000004">
      <c r="E235" s="20"/>
    </row>
    <row r="236" spans="5:5" x14ac:dyDescent="0.55000000000000004">
      <c r="E236" s="20"/>
    </row>
    <row r="237" spans="5:5" x14ac:dyDescent="0.55000000000000004">
      <c r="E237" s="20"/>
    </row>
    <row r="238" spans="5:5" x14ac:dyDescent="0.55000000000000004">
      <c r="E238" s="20"/>
    </row>
    <row r="239" spans="5:5" x14ac:dyDescent="0.55000000000000004">
      <c r="E239" s="20"/>
    </row>
    <row r="240" spans="5:5" x14ac:dyDescent="0.55000000000000004">
      <c r="E240" s="20"/>
    </row>
    <row r="241" spans="5:5" x14ac:dyDescent="0.55000000000000004">
      <c r="E241" s="20"/>
    </row>
    <row r="242" spans="5:5" x14ac:dyDescent="0.55000000000000004">
      <c r="E242" s="20"/>
    </row>
    <row r="243" spans="5:5" x14ac:dyDescent="0.55000000000000004">
      <c r="E243" s="20"/>
    </row>
    <row r="244" spans="5:5" x14ac:dyDescent="0.55000000000000004">
      <c r="E244" s="20"/>
    </row>
    <row r="245" spans="5:5" x14ac:dyDescent="0.55000000000000004">
      <c r="E245" s="20"/>
    </row>
    <row r="246" spans="5:5" x14ac:dyDescent="0.55000000000000004">
      <c r="E246" s="20"/>
    </row>
    <row r="247" spans="5:5" x14ac:dyDescent="0.55000000000000004">
      <c r="E247" s="20"/>
    </row>
    <row r="248" spans="5:5" x14ac:dyDescent="0.55000000000000004">
      <c r="E248" s="20"/>
    </row>
    <row r="249" spans="5:5" x14ac:dyDescent="0.55000000000000004">
      <c r="E249" s="20"/>
    </row>
    <row r="250" spans="5:5" x14ac:dyDescent="0.55000000000000004">
      <c r="E250" s="20"/>
    </row>
    <row r="251" spans="5:5" x14ac:dyDescent="0.55000000000000004">
      <c r="E251" s="20"/>
    </row>
    <row r="252" spans="5:5" x14ac:dyDescent="0.55000000000000004">
      <c r="E252" s="20"/>
    </row>
    <row r="253" spans="5:5" x14ac:dyDescent="0.55000000000000004">
      <c r="E253" s="20"/>
    </row>
    <row r="254" spans="5:5" x14ac:dyDescent="0.55000000000000004">
      <c r="E254" s="20"/>
    </row>
    <row r="255" spans="5:5" x14ac:dyDescent="0.55000000000000004">
      <c r="E255" s="20"/>
    </row>
    <row r="256" spans="5:5" x14ac:dyDescent="0.55000000000000004">
      <c r="E256" s="20"/>
    </row>
    <row r="257" spans="5:5" x14ac:dyDescent="0.55000000000000004">
      <c r="E257" s="20"/>
    </row>
    <row r="258" spans="5:5" x14ac:dyDescent="0.55000000000000004">
      <c r="E258" s="20"/>
    </row>
    <row r="259" spans="5:5" x14ac:dyDescent="0.55000000000000004">
      <c r="E259" s="20"/>
    </row>
    <row r="260" spans="5:5" x14ac:dyDescent="0.55000000000000004">
      <c r="E260" s="20"/>
    </row>
    <row r="261" spans="5:5" x14ac:dyDescent="0.55000000000000004">
      <c r="E261" s="20"/>
    </row>
    <row r="262" spans="5:5" x14ac:dyDescent="0.55000000000000004">
      <c r="E262" s="20"/>
    </row>
    <row r="263" spans="5:5" x14ac:dyDescent="0.55000000000000004">
      <c r="E263" s="20"/>
    </row>
    <row r="264" spans="5:5" x14ac:dyDescent="0.55000000000000004">
      <c r="E264" s="20"/>
    </row>
    <row r="265" spans="5:5" x14ac:dyDescent="0.55000000000000004">
      <c r="E265" s="20"/>
    </row>
    <row r="266" spans="5:5" x14ac:dyDescent="0.55000000000000004">
      <c r="E266" s="20"/>
    </row>
    <row r="267" spans="5:5" x14ac:dyDescent="0.55000000000000004">
      <c r="E267" s="20"/>
    </row>
    <row r="268" spans="5:5" x14ac:dyDescent="0.55000000000000004">
      <c r="E268" s="20"/>
    </row>
    <row r="269" spans="5:5" x14ac:dyDescent="0.55000000000000004">
      <c r="E269" s="20"/>
    </row>
    <row r="270" spans="5:5" x14ac:dyDescent="0.55000000000000004">
      <c r="E270" s="20"/>
    </row>
    <row r="271" spans="5:5" x14ac:dyDescent="0.55000000000000004">
      <c r="E271" s="20"/>
    </row>
    <row r="272" spans="5:5" x14ac:dyDescent="0.55000000000000004">
      <c r="E272" s="20"/>
    </row>
    <row r="273" spans="5:5" x14ac:dyDescent="0.55000000000000004">
      <c r="E273" s="20"/>
    </row>
    <row r="274" spans="5:5" x14ac:dyDescent="0.55000000000000004">
      <c r="E274" s="20"/>
    </row>
    <row r="275" spans="5:5" x14ac:dyDescent="0.55000000000000004">
      <c r="E275" s="20"/>
    </row>
    <row r="276" spans="5:5" x14ac:dyDescent="0.55000000000000004">
      <c r="E276" s="20"/>
    </row>
    <row r="277" spans="5:5" x14ac:dyDescent="0.55000000000000004">
      <c r="E277" s="20"/>
    </row>
    <row r="278" spans="5:5" x14ac:dyDescent="0.55000000000000004">
      <c r="E278" s="20"/>
    </row>
    <row r="279" spans="5:5" x14ac:dyDescent="0.55000000000000004">
      <c r="E279" s="20"/>
    </row>
    <row r="280" spans="5:5" x14ac:dyDescent="0.55000000000000004">
      <c r="E280" s="20"/>
    </row>
    <row r="281" spans="5:5" x14ac:dyDescent="0.55000000000000004">
      <c r="E281" s="20"/>
    </row>
    <row r="282" spans="5:5" x14ac:dyDescent="0.55000000000000004">
      <c r="E282" s="20"/>
    </row>
    <row r="283" spans="5:5" x14ac:dyDescent="0.55000000000000004">
      <c r="E283" s="20"/>
    </row>
    <row r="284" spans="5:5" x14ac:dyDescent="0.55000000000000004">
      <c r="E284" s="20"/>
    </row>
    <row r="285" spans="5:5" x14ac:dyDescent="0.55000000000000004">
      <c r="E285" s="20"/>
    </row>
    <row r="286" spans="5:5" x14ac:dyDescent="0.55000000000000004">
      <c r="E286" s="20"/>
    </row>
    <row r="287" spans="5:5" x14ac:dyDescent="0.55000000000000004">
      <c r="E287" s="20"/>
    </row>
    <row r="288" spans="5:5" x14ac:dyDescent="0.55000000000000004">
      <c r="E288" s="20"/>
    </row>
    <row r="289" spans="5:5" x14ac:dyDescent="0.55000000000000004">
      <c r="E289" s="20"/>
    </row>
    <row r="290" spans="5:5" x14ac:dyDescent="0.55000000000000004">
      <c r="E290" s="20"/>
    </row>
    <row r="291" spans="5:5" x14ac:dyDescent="0.55000000000000004">
      <c r="E291" s="20"/>
    </row>
    <row r="292" spans="5:5" x14ac:dyDescent="0.55000000000000004">
      <c r="E292" s="20"/>
    </row>
    <row r="293" spans="5:5" x14ac:dyDescent="0.55000000000000004">
      <c r="E293" s="20"/>
    </row>
    <row r="294" spans="5:5" x14ac:dyDescent="0.55000000000000004">
      <c r="E294" s="20"/>
    </row>
    <row r="295" spans="5:5" x14ac:dyDescent="0.55000000000000004">
      <c r="E295" s="20"/>
    </row>
    <row r="296" spans="5:5" x14ac:dyDescent="0.55000000000000004">
      <c r="E296" s="20"/>
    </row>
    <row r="297" spans="5:5" x14ac:dyDescent="0.55000000000000004">
      <c r="E297" s="20"/>
    </row>
    <row r="298" spans="5:5" x14ac:dyDescent="0.55000000000000004">
      <c r="E298" s="20"/>
    </row>
    <row r="299" spans="5:5" x14ac:dyDescent="0.55000000000000004">
      <c r="E299" s="20"/>
    </row>
    <row r="300" spans="5:5" x14ac:dyDescent="0.55000000000000004">
      <c r="E300" s="20"/>
    </row>
    <row r="301" spans="5:5" x14ac:dyDescent="0.55000000000000004">
      <c r="E301" s="20"/>
    </row>
    <row r="302" spans="5:5" x14ac:dyDescent="0.55000000000000004">
      <c r="E302" s="20"/>
    </row>
    <row r="303" spans="5:5" x14ac:dyDescent="0.55000000000000004">
      <c r="E303" s="20"/>
    </row>
    <row r="304" spans="5:5" x14ac:dyDescent="0.55000000000000004">
      <c r="E304" s="20"/>
    </row>
    <row r="305" spans="5:5" x14ac:dyDescent="0.55000000000000004">
      <c r="E305" s="20"/>
    </row>
    <row r="306" spans="5:5" x14ac:dyDescent="0.55000000000000004">
      <c r="E306" s="20"/>
    </row>
    <row r="307" spans="5:5" x14ac:dyDescent="0.55000000000000004">
      <c r="E307" s="20"/>
    </row>
    <row r="308" spans="5:5" x14ac:dyDescent="0.55000000000000004">
      <c r="E308" s="20"/>
    </row>
    <row r="309" spans="5:5" x14ac:dyDescent="0.55000000000000004">
      <c r="E309" s="20"/>
    </row>
    <row r="310" spans="5:5" x14ac:dyDescent="0.55000000000000004">
      <c r="E310" s="20"/>
    </row>
    <row r="311" spans="5:5" x14ac:dyDescent="0.55000000000000004">
      <c r="E311" s="20"/>
    </row>
    <row r="312" spans="5:5" x14ac:dyDescent="0.55000000000000004">
      <c r="E312" s="20"/>
    </row>
    <row r="313" spans="5:5" x14ac:dyDescent="0.55000000000000004">
      <c r="E313" s="20"/>
    </row>
    <row r="314" spans="5:5" x14ac:dyDescent="0.55000000000000004">
      <c r="E314" s="20"/>
    </row>
    <row r="315" spans="5:5" x14ac:dyDescent="0.55000000000000004">
      <c r="E315" s="20"/>
    </row>
    <row r="316" spans="5:5" x14ac:dyDescent="0.55000000000000004">
      <c r="E316" s="20"/>
    </row>
    <row r="317" spans="5:5" x14ac:dyDescent="0.55000000000000004">
      <c r="E317" s="20"/>
    </row>
    <row r="318" spans="5:5" x14ac:dyDescent="0.55000000000000004">
      <c r="E318" s="20"/>
    </row>
    <row r="319" spans="5:5" x14ac:dyDescent="0.55000000000000004">
      <c r="E319" s="20"/>
    </row>
    <row r="320" spans="5:5" x14ac:dyDescent="0.55000000000000004">
      <c r="E320" s="20"/>
    </row>
    <row r="321" spans="5:5" x14ac:dyDescent="0.55000000000000004">
      <c r="E321" s="20"/>
    </row>
    <row r="322" spans="5:5" x14ac:dyDescent="0.55000000000000004">
      <c r="E322" s="20"/>
    </row>
    <row r="323" spans="5:5" x14ac:dyDescent="0.55000000000000004">
      <c r="E323" s="20"/>
    </row>
    <row r="324" spans="5:5" x14ac:dyDescent="0.55000000000000004">
      <c r="E324" s="20"/>
    </row>
    <row r="325" spans="5:5" x14ac:dyDescent="0.55000000000000004">
      <c r="E325" s="20"/>
    </row>
    <row r="326" spans="5:5" x14ac:dyDescent="0.55000000000000004">
      <c r="E326" s="20"/>
    </row>
    <row r="327" spans="5:5" x14ac:dyDescent="0.55000000000000004">
      <c r="E327" s="20"/>
    </row>
    <row r="328" spans="5:5" x14ac:dyDescent="0.55000000000000004">
      <c r="E328" s="20"/>
    </row>
    <row r="329" spans="5:5" x14ac:dyDescent="0.55000000000000004">
      <c r="E329" s="20"/>
    </row>
    <row r="330" spans="5:5" x14ac:dyDescent="0.55000000000000004">
      <c r="E330" s="20"/>
    </row>
    <row r="331" spans="5:5" x14ac:dyDescent="0.55000000000000004">
      <c r="E331" s="20"/>
    </row>
    <row r="332" spans="5:5" x14ac:dyDescent="0.55000000000000004">
      <c r="E332" s="20"/>
    </row>
    <row r="333" spans="5:5" x14ac:dyDescent="0.55000000000000004">
      <c r="E333" s="20"/>
    </row>
    <row r="334" spans="5:5" x14ac:dyDescent="0.55000000000000004">
      <c r="E334" s="20"/>
    </row>
    <row r="335" spans="5:5" x14ac:dyDescent="0.55000000000000004">
      <c r="E335" s="20"/>
    </row>
    <row r="336" spans="5:5" x14ac:dyDescent="0.55000000000000004">
      <c r="E336" s="20"/>
    </row>
    <row r="337" spans="5:5" x14ac:dyDescent="0.55000000000000004">
      <c r="E337" s="20"/>
    </row>
    <row r="338" spans="5:5" x14ac:dyDescent="0.55000000000000004">
      <c r="E338" s="20"/>
    </row>
    <row r="339" spans="5:5" x14ac:dyDescent="0.55000000000000004">
      <c r="E339" s="20"/>
    </row>
    <row r="340" spans="5:5" x14ac:dyDescent="0.55000000000000004">
      <c r="E340" s="20"/>
    </row>
    <row r="341" spans="5:5" x14ac:dyDescent="0.55000000000000004">
      <c r="E341" s="20"/>
    </row>
    <row r="342" spans="5:5" x14ac:dyDescent="0.55000000000000004">
      <c r="E342" s="20"/>
    </row>
    <row r="343" spans="5:5" x14ac:dyDescent="0.55000000000000004">
      <c r="E343" s="20"/>
    </row>
    <row r="344" spans="5:5" x14ac:dyDescent="0.55000000000000004">
      <c r="E344" s="20"/>
    </row>
    <row r="345" spans="5:5" x14ac:dyDescent="0.55000000000000004">
      <c r="E345" s="20"/>
    </row>
    <row r="346" spans="5:5" x14ac:dyDescent="0.55000000000000004">
      <c r="E346" s="20"/>
    </row>
    <row r="347" spans="5:5" x14ac:dyDescent="0.55000000000000004">
      <c r="E347" s="20"/>
    </row>
    <row r="348" spans="5:5" x14ac:dyDescent="0.55000000000000004">
      <c r="E348" s="20"/>
    </row>
    <row r="349" spans="5:5" x14ac:dyDescent="0.55000000000000004">
      <c r="E349" s="20"/>
    </row>
    <row r="350" spans="5:5" x14ac:dyDescent="0.55000000000000004">
      <c r="E350" s="20"/>
    </row>
    <row r="351" spans="5:5" x14ac:dyDescent="0.55000000000000004">
      <c r="E351" s="20"/>
    </row>
    <row r="352" spans="5:5" x14ac:dyDescent="0.55000000000000004">
      <c r="E352" s="20"/>
    </row>
    <row r="353" spans="5:5" x14ac:dyDescent="0.55000000000000004">
      <c r="E353" s="20"/>
    </row>
    <row r="354" spans="5:5" x14ac:dyDescent="0.55000000000000004">
      <c r="E354" s="20"/>
    </row>
    <row r="355" spans="5:5" x14ac:dyDescent="0.55000000000000004">
      <c r="E355" s="20"/>
    </row>
    <row r="356" spans="5:5" x14ac:dyDescent="0.55000000000000004">
      <c r="E356" s="20"/>
    </row>
    <row r="357" spans="5:5" x14ac:dyDescent="0.55000000000000004">
      <c r="E357" s="20"/>
    </row>
    <row r="358" spans="5:5" x14ac:dyDescent="0.55000000000000004">
      <c r="E358" s="20"/>
    </row>
    <row r="359" spans="5:5" x14ac:dyDescent="0.55000000000000004">
      <c r="E359" s="20"/>
    </row>
    <row r="360" spans="5:5" x14ac:dyDescent="0.55000000000000004">
      <c r="E360" s="20"/>
    </row>
    <row r="361" spans="5:5" x14ac:dyDescent="0.55000000000000004">
      <c r="E361" s="20"/>
    </row>
    <row r="362" spans="5:5" x14ac:dyDescent="0.55000000000000004">
      <c r="E362" s="20"/>
    </row>
    <row r="363" spans="5:5" x14ac:dyDescent="0.55000000000000004">
      <c r="E363" s="20"/>
    </row>
    <row r="364" spans="5:5" x14ac:dyDescent="0.55000000000000004">
      <c r="E364" s="20"/>
    </row>
    <row r="365" spans="5:5" x14ac:dyDescent="0.55000000000000004">
      <c r="E365" s="20"/>
    </row>
    <row r="366" spans="5:5" x14ac:dyDescent="0.55000000000000004">
      <c r="E366" s="20"/>
    </row>
    <row r="367" spans="5:5" x14ac:dyDescent="0.55000000000000004">
      <c r="E367" s="20"/>
    </row>
    <row r="368" spans="5:5" x14ac:dyDescent="0.55000000000000004">
      <c r="E368" s="20"/>
    </row>
    <row r="369" spans="5:5" x14ac:dyDescent="0.55000000000000004">
      <c r="E369" s="20"/>
    </row>
    <row r="370" spans="5:5" x14ac:dyDescent="0.55000000000000004">
      <c r="E370" s="20"/>
    </row>
    <row r="371" spans="5:5" x14ac:dyDescent="0.55000000000000004">
      <c r="E371" s="20"/>
    </row>
    <row r="372" spans="5:5" x14ac:dyDescent="0.55000000000000004">
      <c r="E372" s="20"/>
    </row>
    <row r="373" spans="5:5" x14ac:dyDescent="0.55000000000000004">
      <c r="E373" s="20"/>
    </row>
    <row r="374" spans="5:5" x14ac:dyDescent="0.55000000000000004">
      <c r="E374" s="20"/>
    </row>
    <row r="375" spans="5:5" x14ac:dyDescent="0.55000000000000004">
      <c r="E375" s="20"/>
    </row>
    <row r="376" spans="5:5" x14ac:dyDescent="0.55000000000000004">
      <c r="E376" s="20"/>
    </row>
    <row r="377" spans="5:5" x14ac:dyDescent="0.55000000000000004">
      <c r="E377" s="20"/>
    </row>
    <row r="378" spans="5:5" x14ac:dyDescent="0.55000000000000004">
      <c r="E378" s="20"/>
    </row>
    <row r="379" spans="5:5" x14ac:dyDescent="0.55000000000000004">
      <c r="E379" s="20"/>
    </row>
    <row r="380" spans="5:5" x14ac:dyDescent="0.55000000000000004">
      <c r="E380" s="20"/>
    </row>
    <row r="381" spans="5:5" x14ac:dyDescent="0.55000000000000004">
      <c r="E381" s="20"/>
    </row>
    <row r="382" spans="5:5" x14ac:dyDescent="0.55000000000000004">
      <c r="E382" s="20"/>
    </row>
    <row r="383" spans="5:5" x14ac:dyDescent="0.55000000000000004">
      <c r="E383" s="20"/>
    </row>
    <row r="384" spans="5:5" x14ac:dyDescent="0.55000000000000004">
      <c r="E384" s="20"/>
    </row>
    <row r="385" spans="5:5" x14ac:dyDescent="0.55000000000000004">
      <c r="E385" s="20"/>
    </row>
    <row r="386" spans="5:5" x14ac:dyDescent="0.55000000000000004">
      <c r="E386" s="20"/>
    </row>
    <row r="387" spans="5:5" x14ac:dyDescent="0.55000000000000004">
      <c r="E387" s="20"/>
    </row>
    <row r="388" spans="5:5" x14ac:dyDescent="0.55000000000000004">
      <c r="E388" s="20"/>
    </row>
    <row r="389" spans="5:5" x14ac:dyDescent="0.55000000000000004">
      <c r="E389" s="20"/>
    </row>
    <row r="390" spans="5:5" x14ac:dyDescent="0.55000000000000004">
      <c r="E390" s="20"/>
    </row>
    <row r="391" spans="5:5" x14ac:dyDescent="0.55000000000000004">
      <c r="E391" s="20"/>
    </row>
    <row r="392" spans="5:5" x14ac:dyDescent="0.55000000000000004">
      <c r="E392" s="20"/>
    </row>
    <row r="393" spans="5:5" x14ac:dyDescent="0.55000000000000004">
      <c r="E393" s="20"/>
    </row>
    <row r="394" spans="5:5" x14ac:dyDescent="0.55000000000000004">
      <c r="E394" s="20"/>
    </row>
    <row r="395" spans="5:5" x14ac:dyDescent="0.55000000000000004">
      <c r="E395" s="20"/>
    </row>
    <row r="396" spans="5:5" x14ac:dyDescent="0.55000000000000004">
      <c r="E396" s="20"/>
    </row>
    <row r="397" spans="5:5" x14ac:dyDescent="0.55000000000000004">
      <c r="E397" s="20"/>
    </row>
    <row r="398" spans="5:5" x14ac:dyDescent="0.55000000000000004">
      <c r="E398" s="20"/>
    </row>
    <row r="399" spans="5:5" x14ac:dyDescent="0.55000000000000004">
      <c r="E399" s="20"/>
    </row>
    <row r="400" spans="5:5" x14ac:dyDescent="0.55000000000000004">
      <c r="E400" s="20"/>
    </row>
    <row r="401" spans="5:5" x14ac:dyDescent="0.55000000000000004">
      <c r="E401" s="20"/>
    </row>
    <row r="402" spans="5:5" x14ac:dyDescent="0.55000000000000004">
      <c r="E402" s="20"/>
    </row>
    <row r="403" spans="5:5" x14ac:dyDescent="0.55000000000000004">
      <c r="E403" s="20"/>
    </row>
    <row r="404" spans="5:5" x14ac:dyDescent="0.55000000000000004">
      <c r="E404" s="20"/>
    </row>
    <row r="405" spans="5:5" x14ac:dyDescent="0.55000000000000004">
      <c r="E405" s="20"/>
    </row>
    <row r="406" spans="5:5" x14ac:dyDescent="0.55000000000000004">
      <c r="E406" s="20"/>
    </row>
    <row r="407" spans="5:5" x14ac:dyDescent="0.55000000000000004">
      <c r="E407" s="20"/>
    </row>
    <row r="408" spans="5:5" x14ac:dyDescent="0.55000000000000004">
      <c r="E408" s="20"/>
    </row>
    <row r="409" spans="5:5" x14ac:dyDescent="0.55000000000000004">
      <c r="E409" s="20"/>
    </row>
    <row r="410" spans="5:5" x14ac:dyDescent="0.55000000000000004">
      <c r="E410" s="20"/>
    </row>
    <row r="411" spans="5:5" x14ac:dyDescent="0.55000000000000004">
      <c r="E411" s="20"/>
    </row>
    <row r="412" spans="5:5" x14ac:dyDescent="0.55000000000000004">
      <c r="E412" s="20"/>
    </row>
    <row r="413" spans="5:5" x14ac:dyDescent="0.55000000000000004">
      <c r="E413" s="20"/>
    </row>
    <row r="414" spans="5:5" x14ac:dyDescent="0.55000000000000004">
      <c r="E414" s="20"/>
    </row>
    <row r="415" spans="5:5" x14ac:dyDescent="0.55000000000000004">
      <c r="E415" s="20"/>
    </row>
    <row r="416" spans="5:5" x14ac:dyDescent="0.55000000000000004">
      <c r="E416" s="20"/>
    </row>
    <row r="417" spans="5:5" x14ac:dyDescent="0.55000000000000004">
      <c r="E417" s="20"/>
    </row>
    <row r="418" spans="5:5" x14ac:dyDescent="0.55000000000000004">
      <c r="E418" s="20"/>
    </row>
    <row r="419" spans="5:5" x14ac:dyDescent="0.55000000000000004">
      <c r="E419" s="20"/>
    </row>
    <row r="420" spans="5:5" x14ac:dyDescent="0.55000000000000004">
      <c r="E420" s="20"/>
    </row>
    <row r="421" spans="5:5" x14ac:dyDescent="0.55000000000000004">
      <c r="E421" s="20"/>
    </row>
    <row r="422" spans="5:5" x14ac:dyDescent="0.55000000000000004">
      <c r="E422" s="20"/>
    </row>
    <row r="423" spans="5:5" x14ac:dyDescent="0.55000000000000004">
      <c r="E423" s="20"/>
    </row>
    <row r="424" spans="5:5" x14ac:dyDescent="0.55000000000000004">
      <c r="E424" s="20"/>
    </row>
    <row r="425" spans="5:5" x14ac:dyDescent="0.55000000000000004">
      <c r="E425" s="20"/>
    </row>
    <row r="426" spans="5:5" x14ac:dyDescent="0.55000000000000004">
      <c r="E426" s="20"/>
    </row>
    <row r="427" spans="5:5" x14ac:dyDescent="0.55000000000000004">
      <c r="E427" s="20"/>
    </row>
    <row r="428" spans="5:5" x14ac:dyDescent="0.55000000000000004">
      <c r="E428" s="20"/>
    </row>
    <row r="429" spans="5:5" x14ac:dyDescent="0.55000000000000004">
      <c r="E429" s="20"/>
    </row>
    <row r="430" spans="5:5" x14ac:dyDescent="0.55000000000000004">
      <c r="E430" s="20"/>
    </row>
    <row r="431" spans="5:5" x14ac:dyDescent="0.55000000000000004">
      <c r="E431" s="20"/>
    </row>
    <row r="432" spans="5:5" x14ac:dyDescent="0.55000000000000004">
      <c r="E432" s="20"/>
    </row>
    <row r="433" spans="5:5" x14ac:dyDescent="0.55000000000000004">
      <c r="E433" s="20"/>
    </row>
    <row r="434" spans="5:5" x14ac:dyDescent="0.55000000000000004">
      <c r="E434" s="20"/>
    </row>
    <row r="435" spans="5:5" x14ac:dyDescent="0.55000000000000004">
      <c r="E435" s="20"/>
    </row>
    <row r="436" spans="5:5" x14ac:dyDescent="0.55000000000000004">
      <c r="E436" s="20"/>
    </row>
    <row r="437" spans="5:5" x14ac:dyDescent="0.55000000000000004">
      <c r="E437" s="20"/>
    </row>
    <row r="438" spans="5:5" x14ac:dyDescent="0.55000000000000004">
      <c r="E438" s="20"/>
    </row>
    <row r="439" spans="5:5" x14ac:dyDescent="0.55000000000000004">
      <c r="E439" s="20"/>
    </row>
    <row r="440" spans="5:5" x14ac:dyDescent="0.55000000000000004">
      <c r="E440" s="20"/>
    </row>
    <row r="441" spans="5:5" x14ac:dyDescent="0.55000000000000004">
      <c r="E441" s="20"/>
    </row>
    <row r="442" spans="5:5" x14ac:dyDescent="0.55000000000000004">
      <c r="E442" s="20"/>
    </row>
    <row r="443" spans="5:5" x14ac:dyDescent="0.55000000000000004">
      <c r="E443" s="20"/>
    </row>
    <row r="444" spans="5:5" x14ac:dyDescent="0.55000000000000004">
      <c r="E444" s="20"/>
    </row>
    <row r="445" spans="5:5" x14ac:dyDescent="0.55000000000000004">
      <c r="E445" s="20"/>
    </row>
    <row r="446" spans="5:5" x14ac:dyDescent="0.55000000000000004">
      <c r="E446" s="20"/>
    </row>
    <row r="447" spans="5:5" x14ac:dyDescent="0.55000000000000004">
      <c r="E447" s="20"/>
    </row>
    <row r="448" spans="5:5" x14ac:dyDescent="0.55000000000000004">
      <c r="E448" s="20"/>
    </row>
    <row r="449" spans="5:5" x14ac:dyDescent="0.55000000000000004">
      <c r="E449" s="20"/>
    </row>
    <row r="450" spans="5:5" x14ac:dyDescent="0.55000000000000004">
      <c r="E450" s="20"/>
    </row>
    <row r="451" spans="5:5" x14ac:dyDescent="0.55000000000000004">
      <c r="E451" s="20"/>
    </row>
    <row r="452" spans="5:5" x14ac:dyDescent="0.55000000000000004">
      <c r="E452" s="20"/>
    </row>
    <row r="453" spans="5:5" x14ac:dyDescent="0.55000000000000004">
      <c r="E453" s="20"/>
    </row>
    <row r="454" spans="5:5" x14ac:dyDescent="0.55000000000000004">
      <c r="E454" s="20"/>
    </row>
    <row r="455" spans="5:5" x14ac:dyDescent="0.55000000000000004">
      <c r="E455" s="20"/>
    </row>
    <row r="456" spans="5:5" x14ac:dyDescent="0.55000000000000004">
      <c r="E456" s="20"/>
    </row>
    <row r="457" spans="5:5" x14ac:dyDescent="0.55000000000000004">
      <c r="E457" s="20"/>
    </row>
    <row r="458" spans="5:5" x14ac:dyDescent="0.55000000000000004">
      <c r="E458" s="20"/>
    </row>
    <row r="459" spans="5:5" x14ac:dyDescent="0.55000000000000004">
      <c r="E459" s="20"/>
    </row>
    <row r="460" spans="5:5" x14ac:dyDescent="0.55000000000000004">
      <c r="E460" s="20"/>
    </row>
    <row r="461" spans="5:5" x14ac:dyDescent="0.55000000000000004">
      <c r="E461" s="20"/>
    </row>
    <row r="462" spans="5:5" x14ac:dyDescent="0.55000000000000004">
      <c r="E462" s="20"/>
    </row>
    <row r="463" spans="5:5" x14ac:dyDescent="0.55000000000000004">
      <c r="E463" s="20"/>
    </row>
    <row r="464" spans="5:5" x14ac:dyDescent="0.55000000000000004">
      <c r="E464" s="20"/>
    </row>
    <row r="465" spans="5:5" x14ac:dyDescent="0.55000000000000004">
      <c r="E465" s="20"/>
    </row>
    <row r="466" spans="5:5" x14ac:dyDescent="0.55000000000000004">
      <c r="E466" s="20"/>
    </row>
    <row r="467" spans="5:5" x14ac:dyDescent="0.55000000000000004">
      <c r="E467" s="20"/>
    </row>
    <row r="468" spans="5:5" x14ac:dyDescent="0.55000000000000004">
      <c r="E468" s="20"/>
    </row>
    <row r="469" spans="5:5" x14ac:dyDescent="0.55000000000000004">
      <c r="E469" s="20"/>
    </row>
    <row r="470" spans="5:5" x14ac:dyDescent="0.55000000000000004">
      <c r="E470" s="20"/>
    </row>
    <row r="471" spans="5:5" x14ac:dyDescent="0.55000000000000004">
      <c r="E471" s="20"/>
    </row>
    <row r="472" spans="5:5" x14ac:dyDescent="0.55000000000000004">
      <c r="E472" s="20"/>
    </row>
    <row r="473" spans="5:5" x14ac:dyDescent="0.55000000000000004">
      <c r="E473" s="20"/>
    </row>
    <row r="474" spans="5:5" x14ac:dyDescent="0.55000000000000004">
      <c r="E474" s="20"/>
    </row>
    <row r="475" spans="5:5" x14ac:dyDescent="0.55000000000000004">
      <c r="E475" s="20"/>
    </row>
    <row r="476" spans="5:5" x14ac:dyDescent="0.55000000000000004">
      <c r="E476" s="20"/>
    </row>
    <row r="477" spans="5:5" x14ac:dyDescent="0.55000000000000004">
      <c r="E477" s="20"/>
    </row>
    <row r="478" spans="5:5" x14ac:dyDescent="0.55000000000000004">
      <c r="E478" s="20"/>
    </row>
    <row r="479" spans="5:5" x14ac:dyDescent="0.55000000000000004">
      <c r="E479" s="20"/>
    </row>
    <row r="480" spans="5:5" x14ac:dyDescent="0.55000000000000004">
      <c r="E480" s="20"/>
    </row>
    <row r="481" spans="5:5" x14ac:dyDescent="0.55000000000000004">
      <c r="E481" s="20"/>
    </row>
    <row r="482" spans="5:5" x14ac:dyDescent="0.55000000000000004">
      <c r="E482" s="20"/>
    </row>
    <row r="483" spans="5:5" x14ac:dyDescent="0.55000000000000004">
      <c r="E483" s="20"/>
    </row>
    <row r="484" spans="5:5" x14ac:dyDescent="0.55000000000000004">
      <c r="E484" s="20"/>
    </row>
    <row r="485" spans="5:5" x14ac:dyDescent="0.55000000000000004">
      <c r="E485" s="20"/>
    </row>
    <row r="486" spans="5:5" x14ac:dyDescent="0.55000000000000004">
      <c r="E486" s="20"/>
    </row>
    <row r="487" spans="5:5" x14ac:dyDescent="0.55000000000000004">
      <c r="E487" s="20"/>
    </row>
    <row r="488" spans="5:5" x14ac:dyDescent="0.55000000000000004">
      <c r="E488" s="20"/>
    </row>
    <row r="489" spans="5:5" x14ac:dyDescent="0.55000000000000004">
      <c r="E489" s="20"/>
    </row>
    <row r="490" spans="5:5" x14ac:dyDescent="0.55000000000000004">
      <c r="E490" s="20"/>
    </row>
    <row r="491" spans="5:5" x14ac:dyDescent="0.55000000000000004">
      <c r="E491" s="20"/>
    </row>
    <row r="492" spans="5:5" x14ac:dyDescent="0.55000000000000004">
      <c r="E492" s="20"/>
    </row>
    <row r="493" spans="5:5" x14ac:dyDescent="0.55000000000000004">
      <c r="E493" s="20"/>
    </row>
    <row r="494" spans="5:5" x14ac:dyDescent="0.55000000000000004">
      <c r="E494" s="20"/>
    </row>
    <row r="495" spans="5:5" x14ac:dyDescent="0.55000000000000004">
      <c r="E495" s="20"/>
    </row>
    <row r="496" spans="5:5" x14ac:dyDescent="0.55000000000000004">
      <c r="E496" s="20"/>
    </row>
    <row r="497" spans="5:5" x14ac:dyDescent="0.55000000000000004">
      <c r="E497" s="20"/>
    </row>
    <row r="498" spans="5:5" x14ac:dyDescent="0.55000000000000004">
      <c r="E498" s="20"/>
    </row>
    <row r="499" spans="5:5" x14ac:dyDescent="0.55000000000000004">
      <c r="E499" s="20"/>
    </row>
    <row r="500" spans="5:5" x14ac:dyDescent="0.55000000000000004">
      <c r="E500" s="20"/>
    </row>
    <row r="501" spans="5:5" x14ac:dyDescent="0.55000000000000004">
      <c r="E501" s="20"/>
    </row>
    <row r="502" spans="5:5" x14ac:dyDescent="0.55000000000000004">
      <c r="E502" s="20"/>
    </row>
    <row r="503" spans="5:5" x14ac:dyDescent="0.55000000000000004">
      <c r="E503" s="20"/>
    </row>
    <row r="504" spans="5:5" x14ac:dyDescent="0.55000000000000004">
      <c r="E504" s="20"/>
    </row>
    <row r="505" spans="5:5" x14ac:dyDescent="0.55000000000000004">
      <c r="E505" s="20"/>
    </row>
    <row r="506" spans="5:5" x14ac:dyDescent="0.55000000000000004">
      <c r="E506" s="20"/>
    </row>
    <row r="507" spans="5:5" x14ac:dyDescent="0.55000000000000004">
      <c r="E507" s="20"/>
    </row>
    <row r="508" spans="5:5" x14ac:dyDescent="0.55000000000000004">
      <c r="E50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3552-23E3-4D84-9F88-31172FECAB95}">
  <dimension ref="A1:A10"/>
  <sheetViews>
    <sheetView workbookViewId="0">
      <selection activeCell="A11" sqref="A11"/>
    </sheetView>
  </sheetViews>
  <sheetFormatPr defaultRowHeight="14.4" x14ac:dyDescent="0.3"/>
  <cols>
    <col min="1" max="1" width="15.88671875" bestFit="1" customWidth="1"/>
  </cols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  <row r="7" spans="1:1" x14ac:dyDescent="0.3">
      <c r="A7" t="s">
        <v>11</v>
      </c>
    </row>
    <row r="8" spans="1:1" x14ac:dyDescent="0.3">
      <c r="A8" t="s">
        <v>12</v>
      </c>
    </row>
    <row r="9" spans="1:1" x14ac:dyDescent="0.3">
      <c r="A9" t="s">
        <v>25</v>
      </c>
    </row>
    <row r="10" spans="1:1" x14ac:dyDescent="0.3">
      <c r="A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Clashbook</vt:lpstr>
      <vt:lpstr>Monthly</vt:lpstr>
      <vt:lpstr>Tax</vt:lpstr>
      <vt:lpstr>VAT Report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thilakoun</dc:creator>
  <cp:lastModifiedBy>owen thilakoun</cp:lastModifiedBy>
  <dcterms:created xsi:type="dcterms:W3CDTF">2026-10-11T06:03:17Z</dcterms:created>
  <dcterms:modified xsi:type="dcterms:W3CDTF">2026-10-13T02:52:31Z</dcterms:modified>
</cp:coreProperties>
</file>